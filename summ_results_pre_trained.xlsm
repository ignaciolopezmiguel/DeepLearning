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ter AEPIA\1er año\6. Deep learning\Trabajo\all\"/>
    </mc:Choice>
  </mc:AlternateContent>
  <xr:revisionPtr revIDLastSave="0" documentId="13_ncr:1_{270AA9F8-DB23-41FA-90DC-0CBE92F2602D}" xr6:coauthVersionLast="45" xr6:coauthVersionMax="45" xr10:uidLastSave="{00000000-0000-0000-0000-000000000000}"/>
  <bookViews>
    <workbookView xWindow="-120" yWindow="-120" windowWidth="29040" windowHeight="15840" tabRatio="800" xr2:uid="{00000000-000D-0000-FFFF-FFFF00000000}"/>
  </bookViews>
  <sheets>
    <sheet name="summ_results_transf_learn" sheetId="1" r:id="rId1"/>
    <sheet name="TF_LearnRate_0.1" sheetId="2" r:id="rId2"/>
    <sheet name="TF_LearnRate_0.01" sheetId="3" r:id="rId3"/>
    <sheet name="TF_LearnRate_0.001" sheetId="4" r:id="rId4"/>
    <sheet name="summ_results_fine_tuning" sheetId="5" r:id="rId5"/>
    <sheet name="Fine_Tuning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5" l="1"/>
  <c r="L2" i="5"/>
  <c r="L9" i="5"/>
  <c r="L6" i="5"/>
  <c r="L5" i="5"/>
  <c r="L4" i="5"/>
  <c r="L8" i="5"/>
  <c r="L3" i="5"/>
  <c r="G3" i="5"/>
  <c r="G8" i="5"/>
  <c r="G4" i="5"/>
  <c r="G5" i="5"/>
  <c r="G6" i="5"/>
  <c r="G9" i="5"/>
  <c r="G2" i="5"/>
  <c r="G7" i="5"/>
  <c r="L19" i="1"/>
  <c r="G19" i="1"/>
  <c r="L35" i="1"/>
  <c r="G35" i="1"/>
  <c r="L16" i="1"/>
  <c r="G16" i="1"/>
  <c r="L14" i="1"/>
  <c r="G14" i="1"/>
  <c r="L30" i="1"/>
  <c r="G30" i="1"/>
  <c r="L26" i="1"/>
  <c r="G26" i="1"/>
  <c r="L7" i="1"/>
  <c r="G7" i="1"/>
  <c r="L5" i="1"/>
  <c r="G5" i="1"/>
  <c r="L4" i="1"/>
  <c r="G4" i="1"/>
  <c r="L28" i="1"/>
  <c r="G28" i="1"/>
  <c r="L24" i="1"/>
  <c r="G24" i="1"/>
  <c r="L33" i="1"/>
  <c r="G33" i="1"/>
  <c r="L18" i="1"/>
  <c r="G18" i="1"/>
  <c r="L9" i="1"/>
  <c r="G9" i="1"/>
  <c r="L11" i="1"/>
  <c r="G11" i="1"/>
  <c r="L36" i="1"/>
  <c r="G36" i="1"/>
  <c r="L29" i="1"/>
  <c r="G29" i="1"/>
  <c r="L31" i="1"/>
  <c r="G31" i="1"/>
  <c r="L2" i="1"/>
  <c r="G2" i="1"/>
  <c r="L6" i="1"/>
  <c r="G6" i="1"/>
  <c r="L8" i="1"/>
  <c r="G8" i="1"/>
  <c r="L22" i="1"/>
  <c r="G22" i="1"/>
  <c r="L23" i="1"/>
  <c r="G23" i="1"/>
  <c r="L20" i="1"/>
  <c r="G20" i="1"/>
  <c r="L15" i="1"/>
  <c r="G15" i="1"/>
  <c r="L17" i="1"/>
  <c r="G17" i="1"/>
  <c r="L12" i="1"/>
  <c r="G12" i="1"/>
  <c r="L37" i="1"/>
  <c r="G37" i="1"/>
  <c r="L27" i="1"/>
  <c r="G27" i="1"/>
  <c r="L21" i="1"/>
  <c r="G21" i="1"/>
  <c r="L3" i="1"/>
  <c r="G3" i="1"/>
  <c r="L13" i="1"/>
  <c r="G13" i="1"/>
  <c r="L10" i="1"/>
  <c r="G10" i="1"/>
  <c r="L34" i="1"/>
  <c r="G34" i="1"/>
  <c r="L25" i="1"/>
  <c r="G25" i="1"/>
  <c r="L32" i="1"/>
  <c r="G32" i="1"/>
</calcChain>
</file>

<file path=xl/sharedStrings.xml><?xml version="1.0" encoding="utf-8"?>
<sst xmlns="http://schemas.openxmlformats.org/spreadsheetml/2006/main" count="332" uniqueCount="61">
  <si>
    <t>Batch</t>
  </si>
  <si>
    <t>Height</t>
  </si>
  <si>
    <t>LearnRate</t>
  </si>
  <si>
    <t>Optimizer</t>
  </si>
  <si>
    <t>Test_loss</t>
  </si>
  <si>
    <t>Time</t>
  </si>
  <si>
    <t>Train_loss</t>
  </si>
  <si>
    <t>Val_loss</t>
  </si>
  <si>
    <t>Width</t>
  </si>
  <si>
    <t>Arq</t>
  </si>
  <si>
    <t>Adam</t>
  </si>
  <si>
    <t>SGD</t>
  </si>
  <si>
    <t>Optimizer2</t>
  </si>
  <si>
    <t>Test_RMSE</t>
  </si>
  <si>
    <t>TF_VGG16</t>
  </si>
  <si>
    <t>&lt;tensorflow.python.keras.optimizer_v2.adam.Adam object at 0x7fd8b1edb8d0&gt;</t>
  </si>
  <si>
    <t>&lt;tensorflow.python.keras.optimizer_v2.adam.Adam object at 0x7fd8b1efd198&gt;</t>
  </si>
  <si>
    <t>&lt;tensorflow.python.keras.optimizer_v2.adam.Adam object at 0x7fd8b1efd2b0&gt;</t>
  </si>
  <si>
    <t>&lt;tensorflow.python.keras.optimizer_v2.adam.Adam object at 0x7fd8b1efd518&gt;</t>
  </si>
  <si>
    <t>&lt;tensorflow.python.keras.optimizer_v2.adam.Adam object at 0x7fd8b1efd5f8&gt;</t>
  </si>
  <si>
    <t>&lt;tensorflow.python.keras.optimizer_v2.adam.Adam object at 0x7fd8b1efd4e0&gt;</t>
  </si>
  <si>
    <t>&lt;tensorflow.python.keras.optimizer_v2.gradient_descent.SGD object at 0x7fd8b1efdda0&gt;</t>
  </si>
  <si>
    <t>&lt;tensorflow.python.keras.optimizer_v2.gradient_descent.SGD object at 0x7fd8b1efdeb8&gt;</t>
  </si>
  <si>
    <t>&lt;tensorflow.python.keras.optimizer_v2.gradient_descent.SGD object at 0x7fd8b1efd668&gt;</t>
  </si>
  <si>
    <t>&lt;tensorflow.python.keras.optimizer_v2.gradient_descent.SGD object at 0x7fd8b1efd780&gt;</t>
  </si>
  <si>
    <t>&lt;tensorflow.python.keras.optimizer_v2.gradient_descent.SGD object at 0x7fd8b1efd7b8&gt;</t>
  </si>
  <si>
    <t>&lt;tensorflow.python.keras.optimizer_v2.gradient_descent.SGD object at 0x7fd8b1efde48&gt;</t>
  </si>
  <si>
    <t>&lt;tensorflow.python.keras.optimizer_v2.adam.Adam object at 0x7fd8b1efdf98&gt;</t>
  </si>
  <si>
    <t>&lt;tensorflow.python.keras.optimizer_v2.adam.Adam object at 0x7fd8b1efd320&gt;</t>
  </si>
  <si>
    <t>&lt;tensorflow.python.keras.optimizer_v2.adam.Adam object at 0x7fd8b1efdcc0&gt;</t>
  </si>
  <si>
    <t>&lt;tensorflow.python.keras.optimizer_v2.adam.Adam object at 0x7fd8b1efda90&gt;</t>
  </si>
  <si>
    <t>&lt;tensorflow.python.keras.optimizer_v2.adam.Adam object at 0x7fd8b1e8d2b0&gt;</t>
  </si>
  <si>
    <t>&lt;tensorflow.python.keras.optimizer_v2.adam.Adam object at 0x7fd8b1e8d390&gt;</t>
  </si>
  <si>
    <t>&lt;tensorflow.python.keras.optimizer_v2.gradient_descent.SGD object at 0x7fd8b1e8d470&gt;</t>
  </si>
  <si>
    <t>&lt;tensorflow.python.keras.optimizer_v2.gradient_descent.SGD object at 0x7fd8b1e8d550&gt;</t>
  </si>
  <si>
    <t>&lt;tensorflow.python.keras.optimizer_v2.gradient_descent.SGD object at 0x7fd8b1e8d668&gt;</t>
  </si>
  <si>
    <t>&lt;tensorflow.python.keras.optimizer_v2.gradient_descent.SGD object at 0x7fd8b1e8d780&gt;</t>
  </si>
  <si>
    <t>&lt;tensorflow.python.keras.optimizer_v2.gradient_descent.SGD object at 0x7fd8b1e8d898&gt;</t>
  </si>
  <si>
    <t>&lt;tensorflow.python.keras.optimizer_v2.gradient_descent.SGD object at 0x7fd8b1e8d9b0&gt;</t>
  </si>
  <si>
    <t>&lt;tensorflow.python.keras.optimizer_v2.adam.Adam object at 0x7fd8b1e8dac8&gt;</t>
  </si>
  <si>
    <t>&lt;tensorflow.python.keras.optimizer_v2.adam.Adam object at 0x7fd8b1e8dbe0&gt;</t>
  </si>
  <si>
    <t>&lt;tensorflow.python.keras.optimizer_v2.adam.Adam object at 0x7fd8b1e8dcc0&gt;</t>
  </si>
  <si>
    <t>&lt;tensorflow.python.keras.optimizer_v2.adam.Adam object at 0x7fd8b1e8dda0&gt;</t>
  </si>
  <si>
    <t>&lt;tensorflow.python.keras.optimizer_v2.adam.Adam object at 0x7fd8b1e8de80&gt;</t>
  </si>
  <si>
    <t>&lt;tensorflow.python.keras.optimizer_v2.adam.Adam object at 0x7fd8b1e8df60&gt;</t>
  </si>
  <si>
    <t>&lt;tensorflow.python.keras.optimizer_v2.gradient_descent.SGD object at 0x7fd8b1e8db70&gt;</t>
  </si>
  <si>
    <t>&lt;tensorflow.python.keras.optimizer_v2.gradient_descent.SGD object at 0x7fd8b1e8d160&gt;</t>
  </si>
  <si>
    <t>&lt;tensorflow.python.keras.optimizer_v2.gradient_descent.SGD object at 0x7fd8b1e8f278&gt;</t>
  </si>
  <si>
    <t>&lt;tensorflow.python.keras.optimizer_v2.gradient_descent.SGD object at 0x7fd8b1e8f390&gt;</t>
  </si>
  <si>
    <t>&lt;tensorflow.python.keras.optimizer_v2.gradient_descent.SGD object at 0x7fd8b1e8f4a8&gt;</t>
  </si>
  <si>
    <t>&lt;tensorflow.python.keras.optimizer_v2.gradient_descent.SGD object at 0x7fd8b1e8f5c0&gt;</t>
  </si>
  <si>
    <t>FN_VGG16</t>
  </si>
  <si>
    <t>&lt;tensorflow.python.keras.optimizer_v2.adam.Adam object at 0x7f38d7e77160&gt;</t>
  </si>
  <si>
    <t>&lt;tensorflow.python.keras.optimizer_v2.adam.Adam object at 0x7f38d7e77860&gt;</t>
  </si>
  <si>
    <t>&lt;tensorflow.python.keras.optimizer_v2.gradient_descent.SGD object at 0x7f38d7e77940&gt;</t>
  </si>
  <si>
    <t>&lt;tensorflow.python.keras.optimizer_v2.gradient_descent.SGD object at 0x7f38d7e77a20&gt;</t>
  </si>
  <si>
    <t>&lt;tensorflow.python.keras.optimizer_v2.adam.Adam object at 0x7f38d7e77b38&gt;</t>
  </si>
  <si>
    <t>&lt;tensorflow.python.keras.optimizer_v2.adam.Adam object at 0x7f38d7e77c50&gt;</t>
  </si>
  <si>
    <t>&lt;tensorflow.python.keras.optimizer_v2.gradient_descent.SGD object at 0x7f38d7e77d30&gt;</t>
  </si>
  <si>
    <t>&lt;tensorflow.python.keras.optimizer_v2.gradient_descent.SGD object at 0x7f38d7e77e10&gt;</t>
  </si>
  <si>
    <t>Learn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</si>
</sst>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2" fontId="0" fillId="0" borderId="0" xfId="0" applyNumberFormat="1"/>
    <xf numFmtId="1" fontId="0" fillId="0" borderId="0" xfId="0" applyNumberFormat="1"/>
    <xf numFmtId="0" fontId="0" fillId="0" borderId="0" xfId="0" applyFill="1"/>
    <xf numFmtId="0" fontId="0" fillId="33" borderId="0" xfId="0" applyFill="1"/>
    <xf numFmtId="1" fontId="0" fillId="33" borderId="0" xfId="0" applyNumberFormat="1" applyFill="1"/>
    <xf numFmtId="2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TF_VGG16_LR0.1_OPT.keras.optimizer_v2.gradient_descent.SGD_BASZ8_WD544.jpg" TargetMode="External"/><Relationship Id="rId3" Type="http://schemas.openxmlformats.org/officeDocument/2006/relationships/image" Target="file:///D:\Master%20AEPIA\1er%20a&#241;o\6.%20Deep%20learning\Trabajo\all\TF_LR0.1_OPT.keras.optimizer_v2.adam.Adam_BASZ16_WD544.jpg" TargetMode="External"/><Relationship Id="rId7" Type="http://schemas.openxmlformats.org/officeDocument/2006/relationships/image" Target="file:///D:\Master%20AEPIA\1er%20a&#241;o\6.%20Deep%20learning\Trabajo\all\TF_LR0.1_OPT.keras.optimizer_v2.gradient_descent.SGD_BASZ4_WD544.jpg" TargetMode="External"/><Relationship Id="rId12" Type="http://schemas.openxmlformats.org/officeDocument/2006/relationships/image" Target="file:///D:\Master%20AEPIA\1er%20a&#241;o\6.%20Deep%20learning\Trabajo\all\TF_VGG16_LR0.1_OPT.keras.optimizer_v2.gradient_descent.SGD_BASZ16_WD362.jpg" TargetMode="External"/><Relationship Id="rId2" Type="http://schemas.openxmlformats.org/officeDocument/2006/relationships/image" Target="file:///D:\Master%20AEPIA\1er%20a&#241;o\6.%20Deep%20learning\Trabajo\all\TF_LR0.1_OPT.keras.optimizer_v2.adam.Adam_BASZ8_WD544.jpg" TargetMode="External"/><Relationship Id="rId1" Type="http://schemas.openxmlformats.org/officeDocument/2006/relationships/image" Target="file:///D:\Master%20AEPIA\1er%20a&#241;o\6.%20Deep%20learning\Trabajo\all\TF_LR0.1_OPT.keras.optimizer_v2.adam.Adam_BASZ4_WD544.jpg" TargetMode="External"/><Relationship Id="rId6" Type="http://schemas.openxmlformats.org/officeDocument/2006/relationships/image" Target="file:///D:\Master%20AEPIA\1er%20a&#241;o\6.%20Deep%20learning\Trabajo\all\TF_VGG16_LR0.1_OPT.keras.optimizer_v2.adam.Adam_BASZ16_WD362.jpg" TargetMode="External"/><Relationship Id="rId11" Type="http://schemas.openxmlformats.org/officeDocument/2006/relationships/image" Target="file:///D:\Master%20AEPIA\1er%20a&#241;o\6.%20Deep%20learning\Trabajo\all\TF_VGG16_LR0.1_OPT.keras.optimizer_v2.gradient_descent.SGD_BASZ8_WD362.jpg" TargetMode="External"/><Relationship Id="rId5" Type="http://schemas.openxmlformats.org/officeDocument/2006/relationships/image" Target="file:///D:\Master%20AEPIA\1er%20a&#241;o\6.%20Deep%20learning\Trabajo\all\TF_VGG16_LR0.1_OPT.keras.optimizer_v2.adam.Adam_BASZ8_WD362.jpg" TargetMode="External"/><Relationship Id="rId10" Type="http://schemas.openxmlformats.org/officeDocument/2006/relationships/image" Target="file:///D:\Master%20AEPIA\1er%20a&#241;o\6.%20Deep%20learning\Trabajo\all\TF_VGG16_LR0.1_OPT.keras.optimizer_v2.gradient_descent.SGD_BASZ4_WD362.jpg" TargetMode="External"/><Relationship Id="rId4" Type="http://schemas.openxmlformats.org/officeDocument/2006/relationships/image" Target="file:///D:\Master%20AEPIA\1er%20a&#241;o\6.%20Deep%20learning\Trabajo\all\TF_VGG16_LR0.1_OPT.keras.optimizer_v2.adam.Adam_BASZ4_WD362.jpg" TargetMode="External"/><Relationship Id="rId9" Type="http://schemas.openxmlformats.org/officeDocument/2006/relationships/image" Target="file:///D:\Master%20AEPIA\1er%20a&#241;o\6.%20Deep%20learning\Trabajo\all\TF_VGG16_LR0.1_OPT.keras.optimizer_v2.gradient_descent.SGD_BASZ16_WD544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TF_VGG16_LR0.01_OPT.keras.optimizer_v2.gradient_descent.SGD_BASZ8_WD544.jpg" TargetMode="External"/><Relationship Id="rId3" Type="http://schemas.openxmlformats.org/officeDocument/2006/relationships/image" Target="file:///D:\Master%20AEPIA\1er%20a&#241;o\6.%20Deep%20learning\Trabajo\all\TF_VGG16_LR0.01_OPT.keras.optimizer_v2.adam.Adam_BASZ16_WD544.jpg" TargetMode="External"/><Relationship Id="rId7" Type="http://schemas.openxmlformats.org/officeDocument/2006/relationships/image" Target="file:///D:\Master%20AEPIA\1er%20a&#241;o\6.%20Deep%20learning\Trabajo\all\TF_VGG16_LR0.01_OPT.keras.optimizer_v2.gradient_descent.SGD_BASZ4_WD544.jpg" TargetMode="External"/><Relationship Id="rId12" Type="http://schemas.openxmlformats.org/officeDocument/2006/relationships/image" Target="file:///D:\Master%20AEPIA\1er%20a&#241;o\6.%20Deep%20learning\Trabajo\all\TF_VGG16_LR0.01_OPT.keras.optimizer_v2.gradient_descent.SGD_BASZ16_WD362.jpg" TargetMode="External"/><Relationship Id="rId2" Type="http://schemas.openxmlformats.org/officeDocument/2006/relationships/image" Target="file:///D:\Master%20AEPIA\1er%20a&#241;o\6.%20Deep%20learning\Trabajo\all\TF_VGG16_LR0.01_OPT.keras.optimizer_v2.adam.Adam_BASZ8_WD544.jpg" TargetMode="External"/><Relationship Id="rId1" Type="http://schemas.openxmlformats.org/officeDocument/2006/relationships/image" Target="file:///D:\Master%20AEPIA\1er%20a&#241;o\6.%20Deep%20learning\Trabajo\all\TF_VGG16_LR0.01_OPT.keras.optimizer_v2.adam.Adam_BASZ4_WD544.jpg" TargetMode="External"/><Relationship Id="rId6" Type="http://schemas.openxmlformats.org/officeDocument/2006/relationships/image" Target="file:///D:\Master%20AEPIA\1er%20a&#241;o\6.%20Deep%20learning\Trabajo\all\TF_VGG16_LR0.01_OPT.keras.optimizer_v2.adam.Adam_BASZ16_WD362.jpg" TargetMode="External"/><Relationship Id="rId11" Type="http://schemas.openxmlformats.org/officeDocument/2006/relationships/image" Target="file:///D:\Master%20AEPIA\1er%20a&#241;o\6.%20Deep%20learning\Trabajo\all\TF_VGG16_LR0.01_OPT.keras.optimizer_v2.gradient_descent.SGD_BASZ8_WD362.jpg" TargetMode="External"/><Relationship Id="rId5" Type="http://schemas.openxmlformats.org/officeDocument/2006/relationships/image" Target="file:///D:\Master%20AEPIA\1er%20a&#241;o\6.%20Deep%20learning\Trabajo\all\TF_VGG16_LR0.01_OPT.keras.optimizer_v2.adam.Adam_BASZ8_WD362.jpg" TargetMode="External"/><Relationship Id="rId10" Type="http://schemas.openxmlformats.org/officeDocument/2006/relationships/image" Target="file:///D:\Master%20AEPIA\1er%20a&#241;o\6.%20Deep%20learning\Trabajo\all\TF_VGG16_LR0.01_OPT.keras.optimizer_v2.gradient_descent.SGD_BASZ4_WD362.jpg" TargetMode="External"/><Relationship Id="rId4" Type="http://schemas.openxmlformats.org/officeDocument/2006/relationships/image" Target="file:///D:\Master%20AEPIA\1er%20a&#241;o\6.%20Deep%20learning\Trabajo\all\TF_VGG16_LR0.01_OPT.keras.optimizer_v2.adam.Adam_BASZ4_WD362.jpg" TargetMode="External"/><Relationship Id="rId9" Type="http://schemas.openxmlformats.org/officeDocument/2006/relationships/image" Target="file:///D:\Master%20AEPIA\1er%20a&#241;o\6.%20Deep%20learning\Trabajo\all\TF_VGG16_LR0.01_OPT.keras.optimizer_v2.gradient_descent.SGD_BASZ16_WD544.jpg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TF_VGG16_LR0.001_OPT.keras.optimizer_v2.gradient_descent.SGD_BASZ8_WD544.jpg" TargetMode="External"/><Relationship Id="rId3" Type="http://schemas.openxmlformats.org/officeDocument/2006/relationships/image" Target="file:///D:\Master%20AEPIA\1er%20a&#241;o\6.%20Deep%20learning\Trabajo\all\TF_VGG16_LR0.001_OPT.keras.optimizer_v2.adam.Adam_BASZ16_WD544.jpg" TargetMode="External"/><Relationship Id="rId7" Type="http://schemas.openxmlformats.org/officeDocument/2006/relationships/image" Target="file:///D:\Master%20AEPIA\1er%20a&#241;o\6.%20Deep%20learning\Trabajo\all\TF_VGG16_LR0.001_OPT.keras.optimizer_v2.gradient_descent.SGD_BASZ4_WD544.jpg" TargetMode="External"/><Relationship Id="rId12" Type="http://schemas.openxmlformats.org/officeDocument/2006/relationships/image" Target="file:///D:\Master%20AEPIA\1er%20a&#241;o\6.%20Deep%20learning\Trabajo\all\TF_VGG16_LR0.001_OPT.keras.optimizer_v2.gradient_descent.SGD_BASZ16_WD362.jpg" TargetMode="External"/><Relationship Id="rId2" Type="http://schemas.openxmlformats.org/officeDocument/2006/relationships/image" Target="file:///D:\Master%20AEPIA\1er%20a&#241;o\6.%20Deep%20learning\Trabajo\all\TF_VGG16_LR0.001_OPT.keras.optimizer_v2.adam.Adam_BASZ8_WD544.jpg" TargetMode="External"/><Relationship Id="rId1" Type="http://schemas.openxmlformats.org/officeDocument/2006/relationships/image" Target="file:///D:\Master%20AEPIA\1er%20a&#241;o\6.%20Deep%20learning\Trabajo\all\TF_VGG16_LR0.001_OPT.keras.optimizer_v2.adam.Adam_BASZ4_WD544.jpg" TargetMode="External"/><Relationship Id="rId6" Type="http://schemas.openxmlformats.org/officeDocument/2006/relationships/image" Target="file:///D:\Master%20AEPIA\1er%20a&#241;o\6.%20Deep%20learning\Trabajo\all\TF_VGG16_LR0.001_OPT.keras.optimizer_v2.adam.Adam_BASZ16_WD362.jpg" TargetMode="External"/><Relationship Id="rId11" Type="http://schemas.openxmlformats.org/officeDocument/2006/relationships/image" Target="file:///D:\Master%20AEPIA\1er%20a&#241;o\6.%20Deep%20learning\Trabajo\all\TF_VGG16_LR0.001_OPT.keras.optimizer_v2.gradient_descent.SGD_BASZ8_WD362.jpg" TargetMode="External"/><Relationship Id="rId5" Type="http://schemas.openxmlformats.org/officeDocument/2006/relationships/image" Target="file:///D:\Master%20AEPIA\1er%20a&#241;o\6.%20Deep%20learning\Trabajo\all\TF_VGG16_LR0.001_OPT.keras.optimizer_v2.adam.Adam_BASZ8_WD362.jpg" TargetMode="External"/><Relationship Id="rId10" Type="http://schemas.openxmlformats.org/officeDocument/2006/relationships/image" Target="file:///D:\Master%20AEPIA\1er%20a&#241;o\6.%20Deep%20learning\Trabajo\all\TF_VGG16_LR0.001_OPT.keras.optimizer_v2.gradient_descent.SGD_BASZ4_WD362.jpg" TargetMode="External"/><Relationship Id="rId4" Type="http://schemas.openxmlformats.org/officeDocument/2006/relationships/image" Target="file:///D:\Master%20AEPIA\1er%20a&#241;o\6.%20Deep%20learning\Trabajo\all\TF_VGG16_LR0.001_OPT.keras.optimizer_v2.adam.Adam_BASZ4_WD362.jpg" TargetMode="External"/><Relationship Id="rId9" Type="http://schemas.openxmlformats.org/officeDocument/2006/relationships/image" Target="file:///D:\Master%20AEPIA\1er%20a&#241;o\6.%20Deep%20learning\Trabajo\all\TF_VGG16_LR0.001_OPT.keras.optimizer_v2.gradient_descent.SGD_BASZ16_WD544.jpg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FN_VGG16_LR0.01_OPT.keras.optimizer_v2.adam.Adam_BASZ4_WD544.jpg" TargetMode="External"/><Relationship Id="rId3" Type="http://schemas.openxmlformats.org/officeDocument/2006/relationships/image" Target="file:///D:\Master%20AEPIA\1er%20a&#241;o\6.%20Deep%20learning\Trabajo\all\FN_VGG16_LR0.001_OPT.keras.optimizer_v2.adam.Adam_BASZ4_WD362.jpg" TargetMode="External"/><Relationship Id="rId7" Type="http://schemas.openxmlformats.org/officeDocument/2006/relationships/image" Target="file:///D:\Master%20AEPIA\1er%20a&#241;o\6.%20Deep%20learning\Trabajo\all\FN_VGG16_LR0.01_OPT.keras.optimizer_v2.adam.Adam_BASZ4_WD362.jpg" TargetMode="External"/><Relationship Id="rId2" Type="http://schemas.openxmlformats.org/officeDocument/2006/relationships/image" Target="file:///D:\Master%20AEPIA\1er%20a&#241;o\6.%20Deep%20learning\Trabajo\all\FN_VGG16_LR0.001_OPT.keras.optimizer_v2.gradient_descent.SGD_BASZ4_WD362.jpg" TargetMode="External"/><Relationship Id="rId1" Type="http://schemas.openxmlformats.org/officeDocument/2006/relationships/image" Target="file:///D:\Master%20AEPIA\1er%20a&#241;o\6.%20Deep%20learning\Trabajo\all\FN_VGG16_LR0.001_OPT.keras.optimizer_v2.gradient_descent.SGD_BASZ4_WD544.jpg" TargetMode="External"/><Relationship Id="rId6" Type="http://schemas.openxmlformats.org/officeDocument/2006/relationships/image" Target="file:///D:\Master%20AEPIA\1er%20a&#241;o\6.%20Deep%20learning\Trabajo\all\FN_VGG16_LR0.01_OPT.keras.optimizer_v2.gradient_descent.SGD_BASZ4_WD544.jpg" TargetMode="External"/><Relationship Id="rId5" Type="http://schemas.openxmlformats.org/officeDocument/2006/relationships/image" Target="file:///D:\Master%20AEPIA\1er%20a&#241;o\6.%20Deep%20learning\Trabajo\all\FN_VGG16_LR0.01_OPT.keras.optimizer_v2.gradient_descent.SGD_BASZ4_WD362.jpg" TargetMode="External"/><Relationship Id="rId4" Type="http://schemas.openxmlformats.org/officeDocument/2006/relationships/image" Target="file:///D:\Master%20AEPIA\1er%20a&#241;o\6.%20Deep%20learning\Trabajo\all\FN_VGG16_LR0.001_OPT.keras.optimizer_v2.adam.Adam_BASZ4_WD544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2BB43E4C-67D9-4FBD-8916-AC6B89BFD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E9056BC2-DF9C-4989-8AAF-A0FEBCBA6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301053D4-87D4-4526-AF32-67760D6D2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A814BDC-0A33-4D55-8FD7-124706CC7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BC373BCB-ABCA-40CF-A374-349F35824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D1A5E93-486F-4B0F-98A4-D6090F710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F2CA0BE7-1CE7-40AB-B107-3152BE9E1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BC78896D-089D-44FA-8A70-69C9C677F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3D378465-E7BD-44BC-843E-9DE1B06A7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2A1138FF-5462-4492-A12D-D2240DDD4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C1734865-7618-4CC2-A8DE-D87B61140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9CD00506-E1DA-405E-8B70-598756D7E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A88CE823-386D-4927-82BC-13171F165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EEA382C6-6490-433A-A615-9B3260EBA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34E536D3-8394-4ECC-B31B-6F90BCD57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5EB53B22-EECD-479C-B57B-18A06073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C9E012B6-9C0E-40C6-BDBD-15069CF7A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AAC5816D-4E2E-44A7-9D41-30E24CDF5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FBA51454-9239-45DD-BD66-36CB5415A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6CCDE39D-CDFB-4640-933D-A72EBD23C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FE64A434-7C35-441B-9270-1F40F5344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9A181836-3FE4-40B7-A87E-198534B41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793F17A9-5F72-4C03-A66F-BCE650D2E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4EA12BD-183D-446B-93A7-13E9C71B3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5998A537-42D6-4E88-9CA3-A5B2FAABC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45AC4EA9-27C2-4223-95A2-46FD2FF0B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5685EC6E-DBD7-4071-BF51-C1A46C677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3C8368AF-6D10-4927-9DFE-69C8DFC7F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5CE9E642-4E3A-4DCB-85DE-053253AF5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83655910-1336-4D86-9005-A45A26029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AB9435FA-A017-499D-A218-272B8220C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EB12A6CC-1220-4503-9A59-08E6B9F03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E865CB19-A2B7-4893-BF65-71EB0B9CC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7AAEEC84-3685-4465-9403-3AA9F2464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8D466D6B-DDFE-4687-B245-B82F24BA8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2B018698-1472-4194-A756-B9124C1A3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9</xdr:col>
      <xdr:colOff>501650</xdr:colOff>
      <xdr:row>33</xdr:row>
      <xdr:rowOff>173543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271609F6-CDD0-4186-BD59-75E8EC753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76625" y="4762500"/>
          <a:ext cx="2540000" cy="1697543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9</xdr:col>
      <xdr:colOff>501650</xdr:colOff>
      <xdr:row>44</xdr:row>
      <xdr:rowOff>173543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368FBE8C-B4B3-4CC5-BE8A-6D3C2FCEE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6858000"/>
          <a:ext cx="2540000" cy="1697543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9</xdr:col>
      <xdr:colOff>501650</xdr:colOff>
      <xdr:row>22</xdr:row>
      <xdr:rowOff>173543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8DAD4B8-DFBD-446B-95CB-78BE59066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76625" y="2667000"/>
          <a:ext cx="2540000" cy="1697543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9</xdr:col>
      <xdr:colOff>501650</xdr:colOff>
      <xdr:row>11</xdr:row>
      <xdr:rowOff>173543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9B398190-6EDA-466F-93DA-DBA803849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76625" y="571500"/>
          <a:ext cx="2540000" cy="169754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173543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FB6FBC00-7119-4266-9158-126EAA0F9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075" y="6858000"/>
          <a:ext cx="2540000" cy="169754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173543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3B95AB6-C2BD-4AB4-838C-97F1B8792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075" y="4762500"/>
          <a:ext cx="2540000" cy="169754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173543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6B190B3B-1FB5-4D7D-846D-F7B45392C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2667000"/>
          <a:ext cx="2540000" cy="169754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173543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91443170-F260-4873-851C-52998DF53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19075" y="571500"/>
          <a:ext cx="2540000" cy="169754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7D5313-2FDF-4CDA-89F0-171BDB36E936}" name="Table4" displayName="Table4" ref="A1:L37" totalsRowShown="0">
  <autoFilter ref="A1:L37" xr:uid="{57AA9C90-CD2E-43F6-9130-CEB84FF71406}"/>
  <sortState xmlns:xlrd2="http://schemas.microsoft.com/office/spreadsheetml/2017/richdata2" ref="A2:L37">
    <sortCondition ref="L1:L37"/>
  </sortState>
  <tableColumns count="12">
    <tableColumn id="1" xr3:uid="{46F8D5B5-433D-4094-A642-357041319666}" name="Arq"/>
    <tableColumn id="2" xr3:uid="{4012113A-A7C0-4CF3-9642-86BF62667675}" name="Batch"/>
    <tableColumn id="3" xr3:uid="{7C2EC066-D176-49A0-A4D5-125498031F27}" name="Width"/>
    <tableColumn id="4" xr3:uid="{CC17DCA5-88F9-449F-B17C-C72ABFC7C554}" name="Height"/>
    <tableColumn id="5" xr3:uid="{7A0F44AA-CE3A-4042-84C9-31AC70890140}" name="LearnRate"/>
    <tableColumn id="6" xr3:uid="{8DEE0747-8A30-4918-969F-55139B37FDA1}" name="Optimizer2"/>
    <tableColumn id="7" xr3:uid="{23A342E1-E7A1-478A-9165-33EA013B94A9}" name="Optimizer">
      <calculatedColumnFormula>IF(RIGHT(LEFT(F2,47),4)="Adam","Adam","SGD")</calculatedColumnFormula>
    </tableColumn>
    <tableColumn id="8" xr3:uid="{ACE65023-1540-4F75-A760-AD021C534E6C}" name="Time" dataDxfId="9"/>
    <tableColumn id="9" xr3:uid="{4D51ABEE-3523-4427-AE4E-5AC36640D5D1}" name="Train_loss" dataDxfId="8"/>
    <tableColumn id="10" xr3:uid="{98AFFEF1-B752-44E9-AE5D-FA6DB537C028}" name="Val_loss" dataDxfId="7"/>
    <tableColumn id="11" xr3:uid="{8CA580A0-14DE-4B1F-86EF-EAF16571D9DD}" name="Test_loss" dataDxfId="6"/>
    <tableColumn id="12" xr3:uid="{3E87758D-114F-4479-B677-DBCAD391D979}" name="Test_RMSE" dataDxfId="5">
      <calculatedColumnFormula>SQRT(K2)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1BAD1-9B80-4146-BAF0-EF192821A4AE}" name="Table3" displayName="Table3" ref="A1:L9" totalsRowShown="0">
  <autoFilter ref="A1:L9" xr:uid="{925C2CC0-CE82-4DBB-BE73-2E996EEB788F}"/>
  <sortState xmlns:xlrd2="http://schemas.microsoft.com/office/spreadsheetml/2017/richdata2" ref="A2:L9">
    <sortCondition ref="L1:L9"/>
  </sortState>
  <tableColumns count="12">
    <tableColumn id="1" xr3:uid="{96CD40FB-A481-435C-B53C-955B85D83A14}" name="Arq"/>
    <tableColumn id="2" xr3:uid="{563BB20B-692A-4A49-A8B7-5128B48E8480}" name="Batch"/>
    <tableColumn id="3" xr3:uid="{EAF269C1-60D5-4D61-A4BC-3D5066AAC0E6}" name="Width"/>
    <tableColumn id="4" xr3:uid="{B1CC9E3B-7DAB-4297-B0D3-C39A996D2C57}" name="Height"/>
    <tableColumn id="5" xr3:uid="{1DEE09BC-9C26-43BF-93E0-6FD1ABB08D34}" name="LearnRate"/>
    <tableColumn id="6" xr3:uid="{4FC77642-6F86-4D20-9256-896AC71BB63E}" name="Optimizer2"/>
    <tableColumn id="7" xr3:uid="{1D80A9F6-2316-4F3A-8F92-A9E7E1727965}" name="Optimizer">
      <calculatedColumnFormula>IF(RIGHT(LEFT(F2,47),4)="Adam","Adam","SGD")</calculatedColumnFormula>
    </tableColumn>
    <tableColumn id="8" xr3:uid="{7F10686F-05A2-4EC3-BB8B-31CBA7391BF7}" name="Time" dataDxfId="4"/>
    <tableColumn id="9" xr3:uid="{01ACE0CB-5B28-443F-AE2F-3309DA1267F0}" name="Train_loss" dataDxfId="3"/>
    <tableColumn id="10" xr3:uid="{1DC68CF1-A45F-45A4-85EE-4DF0DC5A7252}" name="Val_loss" dataDxfId="2"/>
    <tableColumn id="11" xr3:uid="{D3F455ED-1E2D-450F-B660-5FCDCBFA54E1}" name="Test_loss" dataDxfId="1"/>
    <tableColumn id="12" xr3:uid="{65622DBA-D39C-438F-A2BF-8B75B6C2490C}" name="Test_RMSE" dataDxfId="0">
      <calculatedColumnFormula>SQRT(K2)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N50"/>
  <sheetViews>
    <sheetView showGridLines="0" tabSelected="1" zoomScale="85" zoomScaleNormal="85" workbookViewId="0"/>
  </sheetViews>
  <sheetFormatPr defaultColWidth="0" defaultRowHeight="15" customHeight="1" zeroHeight="1" x14ac:dyDescent="0.25"/>
  <cols>
    <col min="1" max="1" width="10" bestFit="1" customWidth="1"/>
    <col min="2" max="3" width="9.140625" customWidth="1"/>
    <col min="4" max="4" width="9.28515625" customWidth="1"/>
    <col min="5" max="5" width="12.42578125" customWidth="1"/>
    <col min="6" max="6" width="9.140625" hidden="1" customWidth="1"/>
    <col min="7" max="7" width="13.140625" customWidth="1"/>
    <col min="8" max="8" width="7.7109375" customWidth="1"/>
    <col min="9" max="9" width="12.7109375" customWidth="1"/>
    <col min="10" max="10" width="11.140625" customWidth="1"/>
    <col min="11" max="11" width="12" customWidth="1"/>
    <col min="12" max="12" width="13" customWidth="1"/>
    <col min="13" max="13" width="3.5703125" customWidth="1"/>
    <col min="14" max="14" width="0" hidden="1" customWidth="1"/>
    <col min="15" max="16384" width="9.140625" hidden="1"/>
  </cols>
  <sheetData>
    <row r="1" spans="1:12" x14ac:dyDescent="0.25">
      <c r="A1" t="s">
        <v>9</v>
      </c>
      <c r="B1" t="s">
        <v>0</v>
      </c>
      <c r="C1" t="s">
        <v>8</v>
      </c>
      <c r="D1" t="s">
        <v>1</v>
      </c>
      <c r="E1" t="s">
        <v>2</v>
      </c>
      <c r="F1" t="s">
        <v>12</v>
      </c>
      <c r="G1" t="s">
        <v>3</v>
      </c>
      <c r="H1" t="s">
        <v>5</v>
      </c>
      <c r="I1" t="s">
        <v>6</v>
      </c>
      <c r="J1" t="s">
        <v>7</v>
      </c>
      <c r="K1" t="s">
        <v>4</v>
      </c>
      <c r="L1" t="s">
        <v>13</v>
      </c>
    </row>
    <row r="2" spans="1:12" x14ac:dyDescent="0.25">
      <c r="A2" t="s">
        <v>14</v>
      </c>
      <c r="B2">
        <v>16</v>
      </c>
      <c r="C2">
        <v>362</v>
      </c>
      <c r="D2">
        <v>272</v>
      </c>
      <c r="E2">
        <v>0.01</v>
      </c>
      <c r="F2" t="s">
        <v>32</v>
      </c>
      <c r="G2" t="str">
        <f t="shared" ref="G2:G37" si="0">IF(RIGHT(LEFT(F2,47),4)="Adam","Adam","SGD")</f>
        <v>Adam</v>
      </c>
      <c r="H2" s="2">
        <v>288.90375399589499</v>
      </c>
      <c r="I2" s="1">
        <v>4.0544440398897397</v>
      </c>
      <c r="J2" s="1">
        <v>7.4943968190087196</v>
      </c>
      <c r="K2" s="1">
        <v>4.9063497384389203</v>
      </c>
      <c r="L2" s="1">
        <f t="shared" ref="L2:L37" si="1">SQRT(K2)</f>
        <v>2.2150281574821844</v>
      </c>
    </row>
    <row r="3" spans="1:12" x14ac:dyDescent="0.25">
      <c r="A3" t="s">
        <v>14</v>
      </c>
      <c r="B3">
        <v>16</v>
      </c>
      <c r="C3">
        <v>362</v>
      </c>
      <c r="D3">
        <v>272</v>
      </c>
      <c r="E3">
        <v>0.1</v>
      </c>
      <c r="F3" t="s">
        <v>20</v>
      </c>
      <c r="G3" t="str">
        <f t="shared" si="0"/>
        <v>Adam</v>
      </c>
      <c r="H3" s="2">
        <v>313.45843744277897</v>
      </c>
      <c r="I3" s="1">
        <v>3.8697532394954099</v>
      </c>
      <c r="J3" s="1">
        <v>8.0090316136677995</v>
      </c>
      <c r="K3" s="1">
        <v>5.3414099481370698</v>
      </c>
      <c r="L3" s="1">
        <f t="shared" si="1"/>
        <v>2.3111490536391353</v>
      </c>
    </row>
    <row r="4" spans="1:12" x14ac:dyDescent="0.25">
      <c r="A4" t="s">
        <v>14</v>
      </c>
      <c r="B4">
        <v>4</v>
      </c>
      <c r="C4">
        <v>362</v>
      </c>
      <c r="D4">
        <v>272</v>
      </c>
      <c r="E4">
        <v>1E-3</v>
      </c>
      <c r="F4" t="s">
        <v>42</v>
      </c>
      <c r="G4" t="str">
        <f t="shared" si="0"/>
        <v>Adam</v>
      </c>
      <c r="H4" s="2">
        <v>187.97662138938901</v>
      </c>
      <c r="I4" s="1">
        <v>4.2701342636797603</v>
      </c>
      <c r="J4" s="1">
        <v>7.3256734625289299</v>
      </c>
      <c r="K4" s="1">
        <v>5.3855126311904504</v>
      </c>
      <c r="L4" s="1">
        <f t="shared" si="1"/>
        <v>2.3206707287313404</v>
      </c>
    </row>
    <row r="5" spans="1:12" x14ac:dyDescent="0.25">
      <c r="A5" s="4" t="s">
        <v>14</v>
      </c>
      <c r="B5" s="4">
        <v>8</v>
      </c>
      <c r="C5" s="4">
        <v>362</v>
      </c>
      <c r="D5" s="4">
        <v>272</v>
      </c>
      <c r="E5" s="4">
        <v>1E-3</v>
      </c>
      <c r="F5" s="4" t="s">
        <v>43</v>
      </c>
      <c r="G5" s="4" t="str">
        <f t="shared" si="0"/>
        <v>Adam</v>
      </c>
      <c r="H5" s="5">
        <v>239.30445814132599</v>
      </c>
      <c r="I5" s="6">
        <v>3.8350692359494398</v>
      </c>
      <c r="J5" s="6">
        <v>6.8076526616748998</v>
      </c>
      <c r="K5" s="6">
        <v>5.4269849375674601</v>
      </c>
      <c r="L5" s="6">
        <f t="shared" si="1"/>
        <v>2.3295890061483937</v>
      </c>
    </row>
    <row r="6" spans="1:12" x14ac:dyDescent="0.25">
      <c r="A6" t="s">
        <v>14</v>
      </c>
      <c r="B6">
        <v>8</v>
      </c>
      <c r="C6">
        <v>362</v>
      </c>
      <c r="D6">
        <v>272</v>
      </c>
      <c r="E6">
        <v>0.01</v>
      </c>
      <c r="F6" t="s">
        <v>31</v>
      </c>
      <c r="G6" t="str">
        <f t="shared" si="0"/>
        <v>Adam</v>
      </c>
      <c r="H6" s="2">
        <v>215.51457619666999</v>
      </c>
      <c r="I6" s="1">
        <v>4.3710632948808197</v>
      </c>
      <c r="J6" s="1">
        <v>7.5697237064963803</v>
      </c>
      <c r="K6" s="1">
        <v>5.5672393347087601</v>
      </c>
      <c r="L6" s="1">
        <f t="shared" si="1"/>
        <v>2.3594998060412635</v>
      </c>
    </row>
    <row r="7" spans="1:12" x14ac:dyDescent="0.25">
      <c r="A7" t="s">
        <v>14</v>
      </c>
      <c r="B7">
        <v>16</v>
      </c>
      <c r="C7">
        <v>362</v>
      </c>
      <c r="D7">
        <v>272</v>
      </c>
      <c r="E7">
        <v>1E-3</v>
      </c>
      <c r="F7" t="s">
        <v>44</v>
      </c>
      <c r="G7" t="str">
        <f t="shared" si="0"/>
        <v>Adam</v>
      </c>
      <c r="H7" s="2">
        <v>255.41366696357699</v>
      </c>
      <c r="I7" s="1">
        <v>4.7745627842166201</v>
      </c>
      <c r="J7" s="1">
        <v>7.1709850629170697</v>
      </c>
      <c r="K7" s="1">
        <v>5.5926826794942199</v>
      </c>
      <c r="L7" s="1">
        <f t="shared" si="1"/>
        <v>2.3648853417225579</v>
      </c>
    </row>
    <row r="8" spans="1:12" x14ac:dyDescent="0.25">
      <c r="A8" t="s">
        <v>14</v>
      </c>
      <c r="B8">
        <v>4</v>
      </c>
      <c r="C8">
        <v>362</v>
      </c>
      <c r="D8">
        <v>272</v>
      </c>
      <c r="E8">
        <v>0.01</v>
      </c>
      <c r="F8" t="s">
        <v>30</v>
      </c>
      <c r="G8" t="str">
        <f t="shared" si="0"/>
        <v>Adam</v>
      </c>
      <c r="H8" s="2">
        <v>254.71876358985901</v>
      </c>
      <c r="I8" s="1">
        <v>3.7452633145893901</v>
      </c>
      <c r="J8" s="1">
        <v>7.21905645453616</v>
      </c>
      <c r="K8" s="1">
        <v>5.6277542412281001</v>
      </c>
      <c r="L8" s="1">
        <f t="shared" si="1"/>
        <v>2.3722888191002589</v>
      </c>
    </row>
    <row r="9" spans="1:12" x14ac:dyDescent="0.25">
      <c r="A9" t="s">
        <v>14</v>
      </c>
      <c r="B9">
        <v>8</v>
      </c>
      <c r="C9">
        <v>362</v>
      </c>
      <c r="D9">
        <v>272</v>
      </c>
      <c r="E9">
        <v>0.01</v>
      </c>
      <c r="F9" t="s">
        <v>37</v>
      </c>
      <c r="G9" t="str">
        <f t="shared" si="0"/>
        <v>SGD</v>
      </c>
      <c r="H9" s="2">
        <v>601.37486624717701</v>
      </c>
      <c r="I9" s="1">
        <v>6.1686027244235602</v>
      </c>
      <c r="J9" s="1">
        <v>8.2545373941722602</v>
      </c>
      <c r="K9" s="1">
        <v>5.7675240824097003</v>
      </c>
      <c r="L9" s="1">
        <f t="shared" si="1"/>
        <v>2.4015670056048197</v>
      </c>
    </row>
    <row r="10" spans="1:12" x14ac:dyDescent="0.25">
      <c r="A10" t="s">
        <v>14</v>
      </c>
      <c r="B10">
        <v>4</v>
      </c>
      <c r="C10">
        <v>362</v>
      </c>
      <c r="D10">
        <v>272</v>
      </c>
      <c r="E10">
        <v>0.1</v>
      </c>
      <c r="F10" t="s">
        <v>18</v>
      </c>
      <c r="G10" t="str">
        <f t="shared" si="0"/>
        <v>Adam</v>
      </c>
      <c r="H10" s="2">
        <v>188.02428984642</v>
      </c>
      <c r="I10" s="1">
        <v>4.9969305321782898</v>
      </c>
      <c r="J10" s="1">
        <v>7.3064757711008896</v>
      </c>
      <c r="K10" s="1">
        <v>5.8050054860742399</v>
      </c>
      <c r="L10" s="1">
        <f t="shared" si="1"/>
        <v>2.4093578991246276</v>
      </c>
    </row>
    <row r="11" spans="1:12" x14ac:dyDescent="0.25">
      <c r="A11" t="s">
        <v>14</v>
      </c>
      <c r="B11">
        <v>4</v>
      </c>
      <c r="C11">
        <v>362</v>
      </c>
      <c r="D11">
        <v>272</v>
      </c>
      <c r="E11">
        <v>0.01</v>
      </c>
      <c r="F11" t="s">
        <v>36</v>
      </c>
      <c r="G11" t="str">
        <f t="shared" si="0"/>
        <v>SGD</v>
      </c>
      <c r="H11" s="2">
        <v>442.52577829360899</v>
      </c>
      <c r="I11" s="1">
        <v>5.7234777031319801</v>
      </c>
      <c r="J11" s="1">
        <v>7.53575657778664</v>
      </c>
      <c r="K11" s="1">
        <v>5.8470782292516601</v>
      </c>
      <c r="L11" s="1">
        <f t="shared" si="1"/>
        <v>2.418073247288357</v>
      </c>
    </row>
    <row r="12" spans="1:12" x14ac:dyDescent="0.25">
      <c r="A12" t="s">
        <v>14</v>
      </c>
      <c r="B12">
        <v>4</v>
      </c>
      <c r="C12">
        <v>362</v>
      </c>
      <c r="D12">
        <v>272</v>
      </c>
      <c r="E12">
        <v>0.1</v>
      </c>
      <c r="F12" t="s">
        <v>24</v>
      </c>
      <c r="G12" t="str">
        <f t="shared" si="0"/>
        <v>SGD</v>
      </c>
      <c r="H12" s="2">
        <v>442.850838661193</v>
      </c>
      <c r="I12" s="1">
        <v>5.7348342011956603</v>
      </c>
      <c r="J12" s="1">
        <v>7.8906825373047198</v>
      </c>
      <c r="K12" s="1">
        <v>5.9056754488693999</v>
      </c>
      <c r="L12" s="1">
        <f t="shared" si="1"/>
        <v>2.4301595521424924</v>
      </c>
    </row>
    <row r="13" spans="1:12" x14ac:dyDescent="0.25">
      <c r="A13" t="s">
        <v>14</v>
      </c>
      <c r="B13">
        <v>8</v>
      </c>
      <c r="C13">
        <v>362</v>
      </c>
      <c r="D13">
        <v>272</v>
      </c>
      <c r="E13">
        <v>0.1</v>
      </c>
      <c r="F13" t="s">
        <v>19</v>
      </c>
      <c r="G13" t="str">
        <f t="shared" si="0"/>
        <v>Adam</v>
      </c>
      <c r="H13" s="2">
        <v>288.97672700881901</v>
      </c>
      <c r="I13" s="1">
        <v>3.68516747985087</v>
      </c>
      <c r="J13" s="1">
        <v>7.2681602114125301</v>
      </c>
      <c r="K13" s="1">
        <v>5.9074861187683902</v>
      </c>
      <c r="L13" s="1">
        <f t="shared" si="1"/>
        <v>2.4305320649537605</v>
      </c>
    </row>
    <row r="14" spans="1:12" x14ac:dyDescent="0.25">
      <c r="A14" t="s">
        <v>14</v>
      </c>
      <c r="B14">
        <v>16</v>
      </c>
      <c r="C14">
        <v>544</v>
      </c>
      <c r="D14">
        <v>408</v>
      </c>
      <c r="E14">
        <v>1E-3</v>
      </c>
      <c r="F14" t="s">
        <v>47</v>
      </c>
      <c r="G14" t="str">
        <f t="shared" si="0"/>
        <v>SGD</v>
      </c>
      <c r="H14" s="2">
        <v>482.48838806152298</v>
      </c>
      <c r="I14" s="1">
        <v>5.1980211396789997</v>
      </c>
      <c r="J14" s="1">
        <v>7.9469159057265797</v>
      </c>
      <c r="K14" s="1">
        <v>5.9846246713086098</v>
      </c>
      <c r="L14" s="1">
        <f t="shared" si="1"/>
        <v>2.4463492537470217</v>
      </c>
    </row>
    <row r="15" spans="1:12" x14ac:dyDescent="0.25">
      <c r="A15" t="s">
        <v>14</v>
      </c>
      <c r="B15">
        <v>16</v>
      </c>
      <c r="C15">
        <v>362</v>
      </c>
      <c r="D15">
        <v>272</v>
      </c>
      <c r="E15">
        <v>0.1</v>
      </c>
      <c r="F15" t="s">
        <v>26</v>
      </c>
      <c r="G15" t="str">
        <f t="shared" si="0"/>
        <v>SGD</v>
      </c>
      <c r="H15" s="2">
        <v>981.93456196784905</v>
      </c>
      <c r="I15" s="1">
        <v>6.5508605109320701</v>
      </c>
      <c r="J15" s="1">
        <v>8.4185536702473893</v>
      </c>
      <c r="K15" s="1">
        <v>6.0147408114539198</v>
      </c>
      <c r="L15" s="1">
        <f t="shared" si="1"/>
        <v>2.4524968524860373</v>
      </c>
    </row>
    <row r="16" spans="1:12" x14ac:dyDescent="0.25">
      <c r="A16" t="s">
        <v>14</v>
      </c>
      <c r="B16">
        <v>4</v>
      </c>
      <c r="C16">
        <v>362</v>
      </c>
      <c r="D16">
        <v>272</v>
      </c>
      <c r="E16">
        <v>1E-3</v>
      </c>
      <c r="F16" t="s">
        <v>48</v>
      </c>
      <c r="G16" t="str">
        <f t="shared" si="0"/>
        <v>SGD</v>
      </c>
      <c r="H16" s="2">
        <v>648.77804422378495</v>
      </c>
      <c r="I16" s="1">
        <v>6.1309144557361801</v>
      </c>
      <c r="J16" s="1">
        <v>7.6267311823995403</v>
      </c>
      <c r="K16" s="1">
        <v>6.07045189957869</v>
      </c>
      <c r="L16" s="1">
        <f t="shared" si="1"/>
        <v>2.4638287074345673</v>
      </c>
    </row>
    <row r="17" spans="1:12" x14ac:dyDescent="0.25">
      <c r="A17" t="s">
        <v>14</v>
      </c>
      <c r="B17">
        <v>8</v>
      </c>
      <c r="C17">
        <v>362</v>
      </c>
      <c r="D17">
        <v>272</v>
      </c>
      <c r="E17">
        <v>0.1</v>
      </c>
      <c r="F17" t="s">
        <v>25</v>
      </c>
      <c r="G17" t="str">
        <f t="shared" si="0"/>
        <v>SGD</v>
      </c>
      <c r="H17" s="2">
        <v>459.948060035705</v>
      </c>
      <c r="I17" s="1">
        <v>6.8821663762746201</v>
      </c>
      <c r="J17" s="1">
        <v>9.4071894695884293</v>
      </c>
      <c r="K17" s="1">
        <v>6.2282691754792801</v>
      </c>
      <c r="L17" s="1">
        <f t="shared" si="1"/>
        <v>2.4956500506840458</v>
      </c>
    </row>
    <row r="18" spans="1:12" x14ac:dyDescent="0.25">
      <c r="A18" t="s">
        <v>14</v>
      </c>
      <c r="B18">
        <v>16</v>
      </c>
      <c r="C18">
        <v>362</v>
      </c>
      <c r="D18">
        <v>272</v>
      </c>
      <c r="E18">
        <v>0.01</v>
      </c>
      <c r="F18" t="s">
        <v>38</v>
      </c>
      <c r="G18" t="str">
        <f t="shared" si="0"/>
        <v>SGD</v>
      </c>
      <c r="H18" s="2">
        <v>882.93089699745099</v>
      </c>
      <c r="I18" s="1">
        <v>6.9428728873079404</v>
      </c>
      <c r="J18" s="1">
        <v>8.8718716833326496</v>
      </c>
      <c r="K18" s="1">
        <v>6.4306368298000702</v>
      </c>
      <c r="L18" s="1">
        <f t="shared" si="1"/>
        <v>2.5358700340908777</v>
      </c>
    </row>
    <row r="19" spans="1:12" x14ac:dyDescent="0.25">
      <c r="A19" t="s">
        <v>14</v>
      </c>
      <c r="B19">
        <v>16</v>
      </c>
      <c r="C19">
        <v>362</v>
      </c>
      <c r="D19">
        <v>272</v>
      </c>
      <c r="E19">
        <v>1E-3</v>
      </c>
      <c r="F19" t="s">
        <v>50</v>
      </c>
      <c r="G19" t="str">
        <f t="shared" si="0"/>
        <v>SGD</v>
      </c>
      <c r="H19" s="2">
        <v>590.51280713081303</v>
      </c>
      <c r="I19" s="1">
        <v>7.7126770522180097</v>
      </c>
      <c r="J19" s="1">
        <v>10.4378042750888</v>
      </c>
      <c r="K19" s="1">
        <v>6.9484276771545401</v>
      </c>
      <c r="L19" s="1">
        <f t="shared" si="1"/>
        <v>2.6359870403995806</v>
      </c>
    </row>
    <row r="20" spans="1:12" x14ac:dyDescent="0.25">
      <c r="A20" t="s">
        <v>14</v>
      </c>
      <c r="B20">
        <v>4</v>
      </c>
      <c r="C20">
        <v>544</v>
      </c>
      <c r="D20">
        <v>408</v>
      </c>
      <c r="E20">
        <v>0.01</v>
      </c>
      <c r="F20" t="s">
        <v>27</v>
      </c>
      <c r="G20" t="str">
        <f t="shared" si="0"/>
        <v>Adam</v>
      </c>
      <c r="H20" s="2">
        <v>449.18672609329201</v>
      </c>
      <c r="I20" s="1">
        <v>4.5632720895174099</v>
      </c>
      <c r="J20" s="1">
        <v>9.2168930392516195</v>
      </c>
      <c r="K20" s="1">
        <v>8.1836407074802793</v>
      </c>
      <c r="L20" s="1">
        <f t="shared" si="1"/>
        <v>2.8607063301709736</v>
      </c>
    </row>
    <row r="21" spans="1:12" x14ac:dyDescent="0.25">
      <c r="A21" t="s">
        <v>14</v>
      </c>
      <c r="B21">
        <v>4</v>
      </c>
      <c r="C21">
        <v>544</v>
      </c>
      <c r="D21">
        <v>408</v>
      </c>
      <c r="E21">
        <v>0.1</v>
      </c>
      <c r="F21" t="s">
        <v>21</v>
      </c>
      <c r="G21" t="str">
        <f t="shared" si="0"/>
        <v>SGD</v>
      </c>
      <c r="H21" s="2">
        <v>1071.9458940029101</v>
      </c>
      <c r="I21" s="1">
        <v>6.1389765475740496</v>
      </c>
      <c r="J21" s="1">
        <v>9.6291600152065797</v>
      </c>
      <c r="K21" s="1">
        <v>8.2347664425247498</v>
      </c>
      <c r="L21" s="1">
        <f t="shared" si="1"/>
        <v>2.8696282760184721</v>
      </c>
    </row>
    <row r="22" spans="1:12" x14ac:dyDescent="0.25">
      <c r="A22" t="s">
        <v>14</v>
      </c>
      <c r="B22">
        <v>16</v>
      </c>
      <c r="C22">
        <v>544</v>
      </c>
      <c r="D22">
        <v>408</v>
      </c>
      <c r="E22">
        <v>0.01</v>
      </c>
      <c r="F22" t="s">
        <v>29</v>
      </c>
      <c r="G22" t="str">
        <f t="shared" si="0"/>
        <v>Adam</v>
      </c>
      <c r="H22" s="2">
        <v>867.07486128807</v>
      </c>
      <c r="I22" s="1">
        <v>4.1649784433875601</v>
      </c>
      <c r="J22" s="1">
        <v>8.7150412135653994</v>
      </c>
      <c r="K22" s="1">
        <v>8.4092764324611995</v>
      </c>
      <c r="L22" s="1">
        <f t="shared" si="1"/>
        <v>2.8998752442926228</v>
      </c>
    </row>
    <row r="23" spans="1:12" x14ac:dyDescent="0.25">
      <c r="A23" t="s">
        <v>14</v>
      </c>
      <c r="B23">
        <v>8</v>
      </c>
      <c r="C23">
        <v>544</v>
      </c>
      <c r="D23">
        <v>408</v>
      </c>
      <c r="E23">
        <v>0.01</v>
      </c>
      <c r="F23" t="s">
        <v>28</v>
      </c>
      <c r="G23" t="str">
        <f t="shared" si="0"/>
        <v>Adam</v>
      </c>
      <c r="H23" s="2">
        <v>577.45643162727299</v>
      </c>
      <c r="I23" s="1">
        <v>4.6572960641946599</v>
      </c>
      <c r="J23" s="1">
        <v>9.2167760823902292</v>
      </c>
      <c r="K23" s="1">
        <v>8.4276152410005203</v>
      </c>
      <c r="L23" s="1">
        <f t="shared" si="1"/>
        <v>2.9030355218289219</v>
      </c>
    </row>
    <row r="24" spans="1:12" x14ac:dyDescent="0.25">
      <c r="A24" t="s">
        <v>14</v>
      </c>
      <c r="B24">
        <v>8</v>
      </c>
      <c r="C24">
        <v>544</v>
      </c>
      <c r="D24">
        <v>408</v>
      </c>
      <c r="E24">
        <v>1E-3</v>
      </c>
      <c r="F24" t="s">
        <v>40</v>
      </c>
      <c r="G24" t="str">
        <f t="shared" si="0"/>
        <v>Adam</v>
      </c>
      <c r="H24" s="2">
        <v>527.16578459739605</v>
      </c>
      <c r="I24" s="1">
        <v>4.7452606305270102</v>
      </c>
      <c r="J24" s="1">
        <v>9.1363908240669591</v>
      </c>
      <c r="K24" s="1">
        <v>8.46675300598144</v>
      </c>
      <c r="L24" s="1">
        <f t="shared" si="1"/>
        <v>2.9097685485243394</v>
      </c>
    </row>
    <row r="25" spans="1:12" x14ac:dyDescent="0.25">
      <c r="A25" t="s">
        <v>14</v>
      </c>
      <c r="B25">
        <v>8</v>
      </c>
      <c r="C25">
        <v>544</v>
      </c>
      <c r="D25">
        <v>408</v>
      </c>
      <c r="E25">
        <v>0.1</v>
      </c>
      <c r="F25" t="s">
        <v>16</v>
      </c>
      <c r="G25" t="str">
        <f t="shared" si="0"/>
        <v>Adam</v>
      </c>
      <c r="H25" s="2">
        <v>652.99737715721096</v>
      </c>
      <c r="I25" s="1">
        <v>4.2220755342026797</v>
      </c>
      <c r="J25" s="1">
        <v>9.0423689766933997</v>
      </c>
      <c r="K25" s="1">
        <v>8.4846066299237695</v>
      </c>
      <c r="L25" s="1">
        <f t="shared" si="1"/>
        <v>2.9128348099272245</v>
      </c>
    </row>
    <row r="26" spans="1:12" x14ac:dyDescent="0.25">
      <c r="A26" t="s">
        <v>14</v>
      </c>
      <c r="B26">
        <v>4</v>
      </c>
      <c r="C26">
        <v>544</v>
      </c>
      <c r="D26">
        <v>408</v>
      </c>
      <c r="E26">
        <v>1E-3</v>
      </c>
      <c r="F26" t="s">
        <v>45</v>
      </c>
      <c r="G26" t="str">
        <f t="shared" si="0"/>
        <v>SGD</v>
      </c>
      <c r="H26" s="2">
        <v>1123.06603813171</v>
      </c>
      <c r="I26" s="1">
        <v>6.0226080072026296</v>
      </c>
      <c r="J26" s="1">
        <v>9.3835783875302194</v>
      </c>
      <c r="K26" s="1">
        <v>8.6402547516320798</v>
      </c>
      <c r="L26" s="1">
        <f t="shared" si="1"/>
        <v>2.9394310251530107</v>
      </c>
    </row>
    <row r="27" spans="1:12" x14ac:dyDescent="0.25">
      <c r="A27" t="s">
        <v>14</v>
      </c>
      <c r="B27">
        <v>8</v>
      </c>
      <c r="C27">
        <v>544</v>
      </c>
      <c r="D27">
        <v>408</v>
      </c>
      <c r="E27">
        <v>0.1</v>
      </c>
      <c r="F27" t="s">
        <v>22</v>
      </c>
      <c r="G27" t="str">
        <f t="shared" si="0"/>
        <v>SGD</v>
      </c>
      <c r="H27" s="2">
        <v>1322.2914712428999</v>
      </c>
      <c r="I27" s="1">
        <v>6.6526210247630804</v>
      </c>
      <c r="J27" s="1">
        <v>10.290211476777699</v>
      </c>
      <c r="K27" s="1">
        <v>8.8460216522216797</v>
      </c>
      <c r="L27" s="1">
        <f t="shared" si="1"/>
        <v>2.9742262274786158</v>
      </c>
    </row>
    <row r="28" spans="1:12" x14ac:dyDescent="0.25">
      <c r="A28" t="s">
        <v>14</v>
      </c>
      <c r="B28">
        <v>16</v>
      </c>
      <c r="C28">
        <v>544</v>
      </c>
      <c r="D28">
        <v>408</v>
      </c>
      <c r="E28">
        <v>1E-3</v>
      </c>
      <c r="F28" t="s">
        <v>41</v>
      </c>
      <c r="G28" t="str">
        <f t="shared" si="0"/>
        <v>Adam</v>
      </c>
      <c r="H28" s="2">
        <v>674.823818206787</v>
      </c>
      <c r="I28" s="1">
        <v>4.6351100287654097</v>
      </c>
      <c r="J28" s="1">
        <v>9.2590466075473294</v>
      </c>
      <c r="K28" s="1">
        <v>8.8861831029256102</v>
      </c>
      <c r="L28" s="1">
        <f t="shared" si="1"/>
        <v>2.980970161361165</v>
      </c>
    </row>
    <row r="29" spans="1:12" x14ac:dyDescent="0.25">
      <c r="A29" t="s">
        <v>14</v>
      </c>
      <c r="B29">
        <v>8</v>
      </c>
      <c r="C29">
        <v>544</v>
      </c>
      <c r="D29">
        <v>408</v>
      </c>
      <c r="E29">
        <v>0.01</v>
      </c>
      <c r="F29" t="s">
        <v>34</v>
      </c>
      <c r="G29" t="str">
        <f t="shared" si="0"/>
        <v>SGD</v>
      </c>
      <c r="H29" s="2">
        <v>1072.2439877986899</v>
      </c>
      <c r="I29" s="1">
        <v>7.8324638178650696</v>
      </c>
      <c r="J29" s="1">
        <v>11.0027191137012</v>
      </c>
      <c r="K29" s="1">
        <v>8.9046047737723892</v>
      </c>
      <c r="L29" s="1">
        <f t="shared" si="1"/>
        <v>2.9840584400732486</v>
      </c>
    </row>
    <row r="30" spans="1:12" x14ac:dyDescent="0.25">
      <c r="A30" t="s">
        <v>14</v>
      </c>
      <c r="B30">
        <v>8</v>
      </c>
      <c r="C30">
        <v>544</v>
      </c>
      <c r="D30">
        <v>408</v>
      </c>
      <c r="E30">
        <v>1E-3</v>
      </c>
      <c r="F30" t="s">
        <v>46</v>
      </c>
      <c r="G30" t="str">
        <f t="shared" si="0"/>
        <v>SGD</v>
      </c>
      <c r="H30" s="2">
        <v>1545.78663611412</v>
      </c>
      <c r="I30" s="1">
        <v>7.1885817616672796</v>
      </c>
      <c r="J30" s="1">
        <v>10.0606018367566</v>
      </c>
      <c r="K30" s="1">
        <v>8.9569699513284693</v>
      </c>
      <c r="L30" s="1">
        <f t="shared" si="1"/>
        <v>2.9928197325145511</v>
      </c>
    </row>
    <row r="31" spans="1:12" x14ac:dyDescent="0.25">
      <c r="A31" t="s">
        <v>14</v>
      </c>
      <c r="B31">
        <v>4</v>
      </c>
      <c r="C31">
        <v>544</v>
      </c>
      <c r="D31">
        <v>408</v>
      </c>
      <c r="E31">
        <v>0.01</v>
      </c>
      <c r="F31" t="s">
        <v>33</v>
      </c>
      <c r="G31" t="str">
        <f t="shared" si="0"/>
        <v>SGD</v>
      </c>
      <c r="H31" s="2">
        <v>1175.6797788143101</v>
      </c>
      <c r="I31" s="1">
        <v>5.7990151193796402</v>
      </c>
      <c r="J31" s="1">
        <v>9.3968128907053092</v>
      </c>
      <c r="K31" s="1">
        <v>8.9806176612251605</v>
      </c>
      <c r="L31" s="1">
        <f t="shared" si="1"/>
        <v>2.9967678690924928</v>
      </c>
    </row>
    <row r="32" spans="1:12" x14ac:dyDescent="0.25">
      <c r="A32" t="s">
        <v>14</v>
      </c>
      <c r="B32">
        <v>4</v>
      </c>
      <c r="C32">
        <v>544</v>
      </c>
      <c r="D32">
        <v>408</v>
      </c>
      <c r="E32">
        <v>0.1</v>
      </c>
      <c r="F32" t="s">
        <v>15</v>
      </c>
      <c r="G32" t="str">
        <f t="shared" si="0"/>
        <v>Adam</v>
      </c>
      <c r="H32" s="2">
        <v>543.38483381271305</v>
      </c>
      <c r="I32" s="1">
        <v>4.2475820347374498</v>
      </c>
      <c r="J32" s="1">
        <v>9.0345491986525595</v>
      </c>
      <c r="K32" s="1">
        <v>9.0229583727685991</v>
      </c>
      <c r="L32" s="1">
        <f t="shared" si="1"/>
        <v>3.0038239583518536</v>
      </c>
    </row>
    <row r="33" spans="1:12" x14ac:dyDescent="0.25">
      <c r="A33" t="s">
        <v>14</v>
      </c>
      <c r="B33">
        <v>4</v>
      </c>
      <c r="C33">
        <v>544</v>
      </c>
      <c r="D33">
        <v>408</v>
      </c>
      <c r="E33">
        <v>1E-3</v>
      </c>
      <c r="F33" t="s">
        <v>39</v>
      </c>
      <c r="G33" t="str">
        <f t="shared" si="0"/>
        <v>Adam</v>
      </c>
      <c r="H33" s="2">
        <v>476.33217978477398</v>
      </c>
      <c r="I33" s="1">
        <v>4.8821621687889696</v>
      </c>
      <c r="J33" s="1">
        <v>9.0175776065964399</v>
      </c>
      <c r="K33" s="1">
        <v>9.02578143697035</v>
      </c>
      <c r="L33" s="1">
        <f t="shared" si="1"/>
        <v>3.0042938333276172</v>
      </c>
    </row>
    <row r="34" spans="1:12" x14ac:dyDescent="0.25">
      <c r="A34" t="s">
        <v>14</v>
      </c>
      <c r="B34">
        <v>16</v>
      </c>
      <c r="C34">
        <v>544</v>
      </c>
      <c r="D34">
        <v>408</v>
      </c>
      <c r="E34">
        <v>0.1</v>
      </c>
      <c r="F34" t="s">
        <v>17</v>
      </c>
      <c r="G34" t="str">
        <f t="shared" si="0"/>
        <v>Adam</v>
      </c>
      <c r="H34" s="2">
        <v>796.87571215629498</v>
      </c>
      <c r="I34" s="1">
        <v>3.67628808225904</v>
      </c>
      <c r="J34" s="1">
        <v>8.6694018575880207</v>
      </c>
      <c r="K34" s="1">
        <v>9.1299973593817807</v>
      </c>
      <c r="L34" s="1">
        <f t="shared" si="1"/>
        <v>3.0215885489890546</v>
      </c>
    </row>
    <row r="35" spans="1:12" x14ac:dyDescent="0.25">
      <c r="A35" t="s">
        <v>14</v>
      </c>
      <c r="B35">
        <v>8</v>
      </c>
      <c r="C35">
        <v>362</v>
      </c>
      <c r="D35">
        <v>272</v>
      </c>
      <c r="E35">
        <v>1E-3</v>
      </c>
      <c r="F35" t="s">
        <v>49</v>
      </c>
      <c r="G35" t="str">
        <f t="shared" si="0"/>
        <v>SGD</v>
      </c>
      <c r="H35" s="2">
        <v>2482.4267539978</v>
      </c>
      <c r="I35" s="1">
        <v>6.7837116011866803</v>
      </c>
      <c r="J35" s="1">
        <v>10.9682254791259</v>
      </c>
      <c r="K35" s="1">
        <v>9.3287415504455495</v>
      </c>
      <c r="L35" s="1">
        <f t="shared" si="1"/>
        <v>3.0542988639695281</v>
      </c>
    </row>
    <row r="36" spans="1:12" x14ac:dyDescent="0.25">
      <c r="A36" t="s">
        <v>14</v>
      </c>
      <c r="B36">
        <v>16</v>
      </c>
      <c r="C36">
        <v>544</v>
      </c>
      <c r="D36">
        <v>408</v>
      </c>
      <c r="E36">
        <v>0.01</v>
      </c>
      <c r="F36" t="s">
        <v>35</v>
      </c>
      <c r="G36" t="str">
        <f t="shared" si="0"/>
        <v>SGD</v>
      </c>
      <c r="H36" s="2">
        <v>2161.3408548831899</v>
      </c>
      <c r="I36" s="1">
        <v>7.5293699828061103</v>
      </c>
      <c r="J36" s="1">
        <v>11.032360076904199</v>
      </c>
      <c r="K36" s="1">
        <v>9.7069950103759695</v>
      </c>
      <c r="L36" s="1">
        <f t="shared" si="1"/>
        <v>3.1156050793346659</v>
      </c>
    </row>
    <row r="37" spans="1:12" x14ac:dyDescent="0.25">
      <c r="A37" t="s">
        <v>14</v>
      </c>
      <c r="B37">
        <v>16</v>
      </c>
      <c r="C37">
        <v>544</v>
      </c>
      <c r="D37">
        <v>408</v>
      </c>
      <c r="E37">
        <v>0.1</v>
      </c>
      <c r="F37" t="s">
        <v>23</v>
      </c>
      <c r="G37" t="str">
        <f t="shared" si="0"/>
        <v>SGD</v>
      </c>
      <c r="H37" s="2">
        <v>2113.1810944080298</v>
      </c>
      <c r="I37" s="1">
        <v>8.1318105455816898</v>
      </c>
      <c r="J37" s="1">
        <v>10.590859837002199</v>
      </c>
      <c r="K37" s="1">
        <v>9.7106248007880307</v>
      </c>
      <c r="L37" s="1">
        <f t="shared" si="1"/>
        <v>3.1161875426212768</v>
      </c>
    </row>
    <row r="38" spans="1:12" x14ac:dyDescent="0.25"/>
    <row r="39" spans="1:12" ht="15" hidden="1" customHeight="1" x14ac:dyDescent="0.25"/>
    <row r="40" spans="1:12" ht="15" hidden="1" customHeight="1" x14ac:dyDescent="0.25"/>
    <row r="41" spans="1:12" ht="15" hidden="1" customHeight="1" x14ac:dyDescent="0.25"/>
    <row r="42" spans="1:12" ht="15" hidden="1" customHeight="1" x14ac:dyDescent="0.25"/>
    <row r="43" spans="1:12" ht="15" hidden="1" customHeight="1" x14ac:dyDescent="0.25"/>
    <row r="44" spans="1:12" ht="15" hidden="1" customHeight="1" x14ac:dyDescent="0.25"/>
    <row r="45" spans="1:12" ht="15" hidden="1" customHeight="1" x14ac:dyDescent="0.25"/>
    <row r="46" spans="1:12" ht="15" hidden="1" customHeight="1" x14ac:dyDescent="0.25"/>
    <row r="47" spans="1:12" ht="15" hidden="1" customHeight="1" x14ac:dyDescent="0.25"/>
    <row r="48" spans="1:12" ht="15" hidden="1" customHeight="1" x14ac:dyDescent="0.25"/>
    <row r="49" ht="15" hidden="1" customHeight="1" x14ac:dyDescent="0.25"/>
    <row r="50" ht="15" hidden="1" customHeight="1" x14ac:dyDescent="0.25"/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0.39997558519241921"/>
  </sheetPr>
  <dimension ref="A1:P46"/>
  <sheetViews>
    <sheetView showGridLines="0" zoomScale="70" zoomScaleNormal="70" workbookViewId="0"/>
  </sheetViews>
  <sheetFormatPr defaultColWidth="0" defaultRowHeight="15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2:15" x14ac:dyDescent="0.25"/>
    <row r="2" spans="2:15" x14ac:dyDescent="0.25">
      <c r="B2" t="s">
        <v>8</v>
      </c>
      <c r="C2">
        <v>544</v>
      </c>
      <c r="D2" t="s">
        <v>0</v>
      </c>
      <c r="E2">
        <v>4</v>
      </c>
      <c r="G2" t="s">
        <v>8</v>
      </c>
      <c r="H2">
        <v>544</v>
      </c>
      <c r="I2" t="s">
        <v>0</v>
      </c>
      <c r="J2">
        <v>8</v>
      </c>
      <c r="L2" t="s">
        <v>8</v>
      </c>
      <c r="M2">
        <v>544</v>
      </c>
      <c r="N2" t="s">
        <v>0</v>
      </c>
      <c r="O2">
        <v>16</v>
      </c>
    </row>
    <row r="3" spans="2:15" x14ac:dyDescent="0.25">
      <c r="B3" t="s">
        <v>1</v>
      </c>
      <c r="C3">
        <v>408</v>
      </c>
      <c r="D3" t="s">
        <v>3</v>
      </c>
      <c r="E3" t="s">
        <v>10</v>
      </c>
      <c r="G3" t="s">
        <v>1</v>
      </c>
      <c r="H3">
        <v>408</v>
      </c>
      <c r="I3" t="s">
        <v>3</v>
      </c>
      <c r="J3" t="s">
        <v>10</v>
      </c>
      <c r="L3" t="s">
        <v>1</v>
      </c>
      <c r="M3">
        <v>408</v>
      </c>
      <c r="N3" t="s">
        <v>3</v>
      </c>
      <c r="O3" t="s">
        <v>10</v>
      </c>
    </row>
    <row r="4" spans="2:15" x14ac:dyDescent="0.25"/>
    <row r="5" spans="2:15" x14ac:dyDescent="0.25"/>
    <row r="6" spans="2:15" x14ac:dyDescent="0.25"/>
    <row r="7" spans="2:15" x14ac:dyDescent="0.25"/>
    <row r="8" spans="2:15" x14ac:dyDescent="0.25"/>
    <row r="9" spans="2:15" x14ac:dyDescent="0.25"/>
    <row r="10" spans="2:15" x14ac:dyDescent="0.25"/>
    <row r="11" spans="2:15" x14ac:dyDescent="0.25"/>
    <row r="12" spans="2:15" x14ac:dyDescent="0.25"/>
    <row r="13" spans="2:15" x14ac:dyDescent="0.25">
      <c r="B13" t="s">
        <v>8</v>
      </c>
      <c r="C13">
        <v>362</v>
      </c>
      <c r="D13" t="s">
        <v>0</v>
      </c>
      <c r="E13">
        <v>4</v>
      </c>
      <c r="G13" t="s">
        <v>8</v>
      </c>
      <c r="H13">
        <v>362</v>
      </c>
      <c r="I13" t="s">
        <v>0</v>
      </c>
      <c r="J13">
        <v>8</v>
      </c>
      <c r="L13" t="s">
        <v>8</v>
      </c>
      <c r="M13">
        <v>362</v>
      </c>
      <c r="N13" t="s">
        <v>0</v>
      </c>
      <c r="O13">
        <v>16</v>
      </c>
    </row>
    <row r="14" spans="2:15" x14ac:dyDescent="0.25">
      <c r="B14" t="s">
        <v>1</v>
      </c>
      <c r="C14">
        <v>272</v>
      </c>
      <c r="D14" t="s">
        <v>3</v>
      </c>
      <c r="E14" t="s">
        <v>10</v>
      </c>
      <c r="G14" t="s">
        <v>1</v>
      </c>
      <c r="H14">
        <v>272</v>
      </c>
      <c r="I14" t="s">
        <v>3</v>
      </c>
      <c r="J14" t="s">
        <v>10</v>
      </c>
      <c r="L14" t="s">
        <v>1</v>
      </c>
      <c r="M14">
        <v>272</v>
      </c>
      <c r="N14" t="s">
        <v>3</v>
      </c>
      <c r="O14" t="s">
        <v>10</v>
      </c>
    </row>
    <row r="15" spans="2:15" x14ac:dyDescent="0.25"/>
    <row r="16" spans="2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t="s">
        <v>8</v>
      </c>
      <c r="C24">
        <v>544</v>
      </c>
      <c r="D24" t="s">
        <v>0</v>
      </c>
      <c r="E24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t="s">
        <v>1</v>
      </c>
      <c r="C25">
        <v>408</v>
      </c>
      <c r="D25" t="s">
        <v>3</v>
      </c>
      <c r="E25" t="s">
        <v>11</v>
      </c>
      <c r="G25" t="s">
        <v>1</v>
      </c>
      <c r="H25">
        <v>408</v>
      </c>
      <c r="I25" t="s">
        <v>3</v>
      </c>
      <c r="J25" t="s">
        <v>11</v>
      </c>
      <c r="L25" t="s">
        <v>1</v>
      </c>
      <c r="M25">
        <v>408</v>
      </c>
      <c r="N25" t="s">
        <v>3</v>
      </c>
      <c r="O25" t="s">
        <v>11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t="s">
        <v>8</v>
      </c>
      <c r="C35">
        <v>362</v>
      </c>
      <c r="D35" t="s">
        <v>0</v>
      </c>
      <c r="E35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t="s">
        <v>1</v>
      </c>
      <c r="C36">
        <v>272</v>
      </c>
      <c r="D36" t="s">
        <v>3</v>
      </c>
      <c r="E36" t="s">
        <v>11</v>
      </c>
      <c r="G36" t="s">
        <v>1</v>
      </c>
      <c r="H36">
        <v>272</v>
      </c>
      <c r="I36" t="s">
        <v>3</v>
      </c>
      <c r="J36" t="s">
        <v>11</v>
      </c>
      <c r="L36" t="s">
        <v>1</v>
      </c>
      <c r="M36">
        <v>272</v>
      </c>
      <c r="N36" t="s">
        <v>3</v>
      </c>
      <c r="O36" t="s">
        <v>11</v>
      </c>
    </row>
    <row r="37" spans="2:15" x14ac:dyDescent="0.25"/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0.39997558519241921"/>
  </sheetPr>
  <dimension ref="A1:P46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2:15" x14ac:dyDescent="0.25"/>
    <row r="2" spans="2:15" x14ac:dyDescent="0.25">
      <c r="B2" t="s">
        <v>8</v>
      </c>
      <c r="C2">
        <v>544</v>
      </c>
      <c r="D2" t="s">
        <v>0</v>
      </c>
      <c r="E2">
        <v>4</v>
      </c>
      <c r="G2" t="s">
        <v>8</v>
      </c>
      <c r="H2">
        <v>544</v>
      </c>
      <c r="I2" t="s">
        <v>0</v>
      </c>
      <c r="J2">
        <v>8</v>
      </c>
      <c r="L2" t="s">
        <v>8</v>
      </c>
      <c r="M2">
        <v>544</v>
      </c>
      <c r="N2" t="s">
        <v>0</v>
      </c>
      <c r="O2">
        <v>16</v>
      </c>
    </row>
    <row r="3" spans="2:15" x14ac:dyDescent="0.25">
      <c r="B3" t="s">
        <v>1</v>
      </c>
      <c r="C3">
        <v>408</v>
      </c>
      <c r="D3" t="s">
        <v>3</v>
      </c>
      <c r="E3" t="s">
        <v>10</v>
      </c>
      <c r="G3" t="s">
        <v>1</v>
      </c>
      <c r="H3">
        <v>408</v>
      </c>
      <c r="I3" t="s">
        <v>3</v>
      </c>
      <c r="J3" t="s">
        <v>10</v>
      </c>
      <c r="L3" t="s">
        <v>1</v>
      </c>
      <c r="M3">
        <v>408</v>
      </c>
      <c r="N3" t="s">
        <v>3</v>
      </c>
      <c r="O3" t="s">
        <v>10</v>
      </c>
    </row>
    <row r="4" spans="2:15" x14ac:dyDescent="0.25"/>
    <row r="5" spans="2:15" x14ac:dyDescent="0.25"/>
    <row r="6" spans="2:15" x14ac:dyDescent="0.25"/>
    <row r="7" spans="2:15" x14ac:dyDescent="0.25"/>
    <row r="8" spans="2:15" x14ac:dyDescent="0.25"/>
    <row r="9" spans="2:15" x14ac:dyDescent="0.25"/>
    <row r="10" spans="2:15" x14ac:dyDescent="0.25"/>
    <row r="11" spans="2:15" x14ac:dyDescent="0.25"/>
    <row r="12" spans="2:15" x14ac:dyDescent="0.25"/>
    <row r="13" spans="2:15" x14ac:dyDescent="0.25">
      <c r="B13" t="s">
        <v>8</v>
      </c>
      <c r="C13">
        <v>362</v>
      </c>
      <c r="D13" t="s">
        <v>0</v>
      </c>
      <c r="E13">
        <v>4</v>
      </c>
      <c r="G13" t="s">
        <v>8</v>
      </c>
      <c r="H13">
        <v>362</v>
      </c>
      <c r="I13" t="s">
        <v>0</v>
      </c>
      <c r="J13">
        <v>8</v>
      </c>
      <c r="L13" t="s">
        <v>8</v>
      </c>
      <c r="M13">
        <v>362</v>
      </c>
      <c r="N13" t="s">
        <v>0</v>
      </c>
      <c r="O13">
        <v>16</v>
      </c>
    </row>
    <row r="14" spans="2:15" x14ac:dyDescent="0.25">
      <c r="B14" t="s">
        <v>1</v>
      </c>
      <c r="C14">
        <v>272</v>
      </c>
      <c r="D14" t="s">
        <v>3</v>
      </c>
      <c r="E14" t="s">
        <v>10</v>
      </c>
      <c r="G14" t="s">
        <v>1</v>
      </c>
      <c r="H14">
        <v>272</v>
      </c>
      <c r="I14" t="s">
        <v>3</v>
      </c>
      <c r="J14" t="s">
        <v>10</v>
      </c>
      <c r="L14" t="s">
        <v>1</v>
      </c>
      <c r="M14">
        <v>272</v>
      </c>
      <c r="N14" t="s">
        <v>3</v>
      </c>
      <c r="O14" t="s">
        <v>10</v>
      </c>
    </row>
    <row r="15" spans="2:15" x14ac:dyDescent="0.25"/>
    <row r="16" spans="2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t="s">
        <v>8</v>
      </c>
      <c r="C24">
        <v>544</v>
      </c>
      <c r="D24" t="s">
        <v>0</v>
      </c>
      <c r="E24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t="s">
        <v>1</v>
      </c>
      <c r="C25">
        <v>408</v>
      </c>
      <c r="D25" t="s">
        <v>3</v>
      </c>
      <c r="E25" t="s">
        <v>11</v>
      </c>
      <c r="G25" t="s">
        <v>1</v>
      </c>
      <c r="H25">
        <v>408</v>
      </c>
      <c r="I25" t="s">
        <v>3</v>
      </c>
      <c r="J25" t="s">
        <v>11</v>
      </c>
      <c r="L25" t="s">
        <v>1</v>
      </c>
      <c r="M25">
        <v>408</v>
      </c>
      <c r="N25" t="s">
        <v>3</v>
      </c>
      <c r="O25" t="s">
        <v>11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t="s">
        <v>8</v>
      </c>
      <c r="C35">
        <v>362</v>
      </c>
      <c r="D35" t="s">
        <v>0</v>
      </c>
      <c r="E35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t="s">
        <v>1</v>
      </c>
      <c r="C36">
        <v>272</v>
      </c>
      <c r="D36" t="s">
        <v>3</v>
      </c>
      <c r="E36" t="s">
        <v>11</v>
      </c>
      <c r="G36" t="s">
        <v>1</v>
      </c>
      <c r="H36">
        <v>272</v>
      </c>
      <c r="I36" t="s">
        <v>3</v>
      </c>
      <c r="J36" t="s">
        <v>11</v>
      </c>
      <c r="L36" t="s">
        <v>1</v>
      </c>
      <c r="M36">
        <v>272</v>
      </c>
      <c r="N36" t="s">
        <v>3</v>
      </c>
      <c r="O36" t="s">
        <v>11</v>
      </c>
    </row>
    <row r="37" spans="2:15" x14ac:dyDescent="0.25"/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39997558519241921"/>
  </sheetPr>
  <dimension ref="A1:P52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1:15" x14ac:dyDescent="0.25"/>
    <row r="2" spans="1:15" x14ac:dyDescent="0.25">
      <c r="B2" t="s">
        <v>8</v>
      </c>
      <c r="C2">
        <v>544</v>
      </c>
      <c r="D2" t="s">
        <v>0</v>
      </c>
      <c r="E2">
        <v>4</v>
      </c>
      <c r="G2" t="s">
        <v>8</v>
      </c>
      <c r="H2">
        <v>544</v>
      </c>
      <c r="I2" t="s">
        <v>0</v>
      </c>
      <c r="J2">
        <v>8</v>
      </c>
      <c r="L2" t="s">
        <v>8</v>
      </c>
      <c r="M2">
        <v>544</v>
      </c>
      <c r="N2" t="s">
        <v>0</v>
      </c>
      <c r="O2">
        <v>16</v>
      </c>
    </row>
    <row r="3" spans="1:15" x14ac:dyDescent="0.25">
      <c r="B3" t="s">
        <v>1</v>
      </c>
      <c r="C3">
        <v>408</v>
      </c>
      <c r="D3" t="s">
        <v>3</v>
      </c>
      <c r="E3" t="s">
        <v>10</v>
      </c>
      <c r="G3" t="s">
        <v>1</v>
      </c>
      <c r="H3">
        <v>408</v>
      </c>
      <c r="I3" t="s">
        <v>3</v>
      </c>
      <c r="J3" t="s">
        <v>10</v>
      </c>
      <c r="L3" t="s">
        <v>1</v>
      </c>
      <c r="M3">
        <v>408</v>
      </c>
      <c r="N3" t="s">
        <v>3</v>
      </c>
      <c r="O3" t="s">
        <v>10</v>
      </c>
    </row>
    <row r="4" spans="1:15" x14ac:dyDescent="0.25"/>
    <row r="5" spans="1:15" x14ac:dyDescent="0.25"/>
    <row r="6" spans="1:15" x14ac:dyDescent="0.25"/>
    <row r="7" spans="1:15" x14ac:dyDescent="0.25"/>
    <row r="8" spans="1:15" x14ac:dyDescent="0.25"/>
    <row r="9" spans="1:15" x14ac:dyDescent="0.25"/>
    <row r="10" spans="1:15" x14ac:dyDescent="0.25"/>
    <row r="11" spans="1:15" x14ac:dyDescent="0.25"/>
    <row r="12" spans="1:15" x14ac:dyDescent="0.25"/>
    <row r="13" spans="1:15" x14ac:dyDescent="0.25">
      <c r="A13" s="3"/>
      <c r="B13" s="3" t="s">
        <v>8</v>
      </c>
      <c r="C13" s="3">
        <v>362</v>
      </c>
      <c r="D13" s="3" t="s">
        <v>0</v>
      </c>
      <c r="E13" s="3">
        <v>4</v>
      </c>
      <c r="F13" s="3"/>
      <c r="G13" s="4" t="s">
        <v>8</v>
      </c>
      <c r="H13" s="4">
        <v>362</v>
      </c>
      <c r="I13" s="4" t="s">
        <v>0</v>
      </c>
      <c r="J13" s="4">
        <v>8</v>
      </c>
      <c r="L13" t="s">
        <v>8</v>
      </c>
      <c r="M13">
        <v>362</v>
      </c>
      <c r="N13" t="s">
        <v>0</v>
      </c>
      <c r="O13">
        <v>16</v>
      </c>
    </row>
    <row r="14" spans="1:15" x14ac:dyDescent="0.25">
      <c r="A14" s="3"/>
      <c r="B14" s="3" t="s">
        <v>1</v>
      </c>
      <c r="C14" s="3">
        <v>272</v>
      </c>
      <c r="D14" s="3" t="s">
        <v>3</v>
      </c>
      <c r="E14" s="3" t="s">
        <v>10</v>
      </c>
      <c r="F14" s="3"/>
      <c r="G14" s="4" t="s">
        <v>1</v>
      </c>
      <c r="H14" s="4">
        <v>272</v>
      </c>
      <c r="I14" s="4" t="s">
        <v>3</v>
      </c>
      <c r="J14" s="4" t="s">
        <v>10</v>
      </c>
      <c r="L14" t="s">
        <v>1</v>
      </c>
      <c r="M14">
        <v>272</v>
      </c>
      <c r="N14" t="s">
        <v>3</v>
      </c>
      <c r="O14" t="s">
        <v>10</v>
      </c>
    </row>
    <row r="15" spans="1:15" x14ac:dyDescent="0.25"/>
    <row r="16" spans="1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t="s">
        <v>8</v>
      </c>
      <c r="C24">
        <v>544</v>
      </c>
      <c r="D24" t="s">
        <v>0</v>
      </c>
      <c r="E24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t="s">
        <v>1</v>
      </c>
      <c r="C25">
        <v>408</v>
      </c>
      <c r="D25" t="s">
        <v>3</v>
      </c>
      <c r="E25" t="s">
        <v>11</v>
      </c>
      <c r="G25" t="s">
        <v>1</v>
      </c>
      <c r="H25">
        <v>408</v>
      </c>
      <c r="I25" t="s">
        <v>3</v>
      </c>
      <c r="J25" t="s">
        <v>11</v>
      </c>
      <c r="L25" t="s">
        <v>1</v>
      </c>
      <c r="M25">
        <v>408</v>
      </c>
      <c r="N25" t="s">
        <v>3</v>
      </c>
      <c r="O25" t="s">
        <v>11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s="3" t="s">
        <v>8</v>
      </c>
      <c r="C35" s="3">
        <v>362</v>
      </c>
      <c r="D35" s="3" t="s">
        <v>0</v>
      </c>
      <c r="E35" s="3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s="3" t="s">
        <v>1</v>
      </c>
      <c r="C36" s="3">
        <v>272</v>
      </c>
      <c r="D36" s="3" t="s">
        <v>3</v>
      </c>
      <c r="E36" s="3" t="s">
        <v>11</v>
      </c>
      <c r="G36" t="s">
        <v>1</v>
      </c>
      <c r="H36">
        <v>272</v>
      </c>
      <c r="I36" t="s">
        <v>3</v>
      </c>
      <c r="J36" t="s">
        <v>11</v>
      </c>
      <c r="L36" t="s">
        <v>1</v>
      </c>
      <c r="M36">
        <v>272</v>
      </c>
      <c r="N36" t="s">
        <v>3</v>
      </c>
      <c r="O36" t="s">
        <v>11</v>
      </c>
    </row>
    <row r="37" spans="2:15" x14ac:dyDescent="0.25">
      <c r="B37" s="3"/>
      <c r="C37" s="3"/>
      <c r="D37" s="3"/>
      <c r="E37" s="3"/>
    </row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  <row r="47" spans="2:15" ht="15" hidden="1" customHeight="1" x14ac:dyDescent="0.25"/>
    <row r="48" spans="2:15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B155-4156-40FF-895C-8E20FCFFF619}">
  <sheetPr codeName="Sheet5">
    <tabColor theme="9" tint="-0.249977111117893"/>
  </sheetPr>
  <dimension ref="A1:N38"/>
  <sheetViews>
    <sheetView showGridLines="0" zoomScale="85" zoomScaleNormal="85" workbookViewId="0"/>
  </sheetViews>
  <sheetFormatPr defaultColWidth="0" defaultRowHeight="15" zeroHeight="1" x14ac:dyDescent="0.25"/>
  <cols>
    <col min="1" max="1" width="10.42578125" bestFit="1" customWidth="1"/>
    <col min="2" max="3" width="9.140625" customWidth="1"/>
    <col min="4" max="4" width="9.28515625" customWidth="1"/>
    <col min="5" max="5" width="12.42578125" customWidth="1"/>
    <col min="6" max="6" width="9.140625" hidden="1" customWidth="1"/>
    <col min="7" max="7" width="13.140625" customWidth="1"/>
    <col min="8" max="8" width="7.7109375" customWidth="1"/>
    <col min="9" max="9" width="12.7109375" customWidth="1"/>
    <col min="10" max="10" width="11.140625" customWidth="1"/>
    <col min="11" max="12" width="12" customWidth="1"/>
    <col min="13" max="13" width="3.5703125" customWidth="1"/>
    <col min="14" max="14" width="0" hidden="1" customWidth="1"/>
    <col min="15" max="16384" width="9.140625" hidden="1"/>
  </cols>
  <sheetData>
    <row r="1" spans="1:12" x14ac:dyDescent="0.25">
      <c r="A1" t="s">
        <v>9</v>
      </c>
      <c r="B1" t="s">
        <v>0</v>
      </c>
      <c r="C1" t="s">
        <v>8</v>
      </c>
      <c r="D1" t="s">
        <v>1</v>
      </c>
      <c r="E1" t="s">
        <v>2</v>
      </c>
      <c r="F1" t="s">
        <v>12</v>
      </c>
      <c r="G1" t="s">
        <v>3</v>
      </c>
      <c r="H1" t="s">
        <v>5</v>
      </c>
      <c r="I1" t="s">
        <v>6</v>
      </c>
      <c r="J1" t="s">
        <v>7</v>
      </c>
      <c r="K1" t="s">
        <v>4</v>
      </c>
      <c r="L1" t="s">
        <v>13</v>
      </c>
    </row>
    <row r="2" spans="1:12" x14ac:dyDescent="0.25">
      <c r="A2" t="s">
        <v>51</v>
      </c>
      <c r="B2">
        <v>4</v>
      </c>
      <c r="C2">
        <v>362</v>
      </c>
      <c r="D2">
        <v>272</v>
      </c>
      <c r="E2">
        <v>0.01</v>
      </c>
      <c r="F2" t="s">
        <v>53</v>
      </c>
      <c r="G2" t="str">
        <f t="shared" ref="G2:G9" si="0">IF(RIGHT(LEFT(F2,47),4)="Adam","Adam","SGD")</f>
        <v>Adam</v>
      </c>
      <c r="H2" s="2">
        <v>499.53336834907498</v>
      </c>
      <c r="I2" s="1">
        <v>0.22317526297492399</v>
      </c>
      <c r="J2" s="1">
        <v>4.4033058897444999</v>
      </c>
      <c r="K2" s="1">
        <v>3.60170203839477</v>
      </c>
      <c r="L2" s="1">
        <f t="shared" ref="L2:L9" si="1">SQRT(K2)</f>
        <v>1.8978150695983973</v>
      </c>
    </row>
    <row r="3" spans="1:12" x14ac:dyDescent="0.25">
      <c r="A3" t="s">
        <v>51</v>
      </c>
      <c r="B3">
        <v>4</v>
      </c>
      <c r="C3">
        <v>362</v>
      </c>
      <c r="D3">
        <v>272</v>
      </c>
      <c r="E3">
        <v>1E-3</v>
      </c>
      <c r="F3" t="s">
        <v>59</v>
      </c>
      <c r="G3" t="str">
        <f t="shared" si="0"/>
        <v>SGD</v>
      </c>
      <c r="H3" s="2">
        <v>485.51771521568298</v>
      </c>
      <c r="I3" s="1">
        <v>0.60655460404675599</v>
      </c>
      <c r="J3" s="1">
        <v>5.2028246929771003</v>
      </c>
      <c r="K3" s="1">
        <v>3.65231096822964</v>
      </c>
      <c r="L3" s="1">
        <f t="shared" si="1"/>
        <v>1.9111020297801058</v>
      </c>
    </row>
    <row r="4" spans="1:12" x14ac:dyDescent="0.25">
      <c r="A4" t="s">
        <v>51</v>
      </c>
      <c r="B4">
        <v>4</v>
      </c>
      <c r="C4">
        <v>362</v>
      </c>
      <c r="D4">
        <v>272</v>
      </c>
      <c r="E4">
        <v>1E-3</v>
      </c>
      <c r="F4" t="s">
        <v>57</v>
      </c>
      <c r="G4" t="str">
        <f t="shared" si="0"/>
        <v>Adam</v>
      </c>
      <c r="H4" s="2">
        <v>267.57772159576399</v>
      </c>
      <c r="I4" s="1">
        <v>1.71484147500591</v>
      </c>
      <c r="J4" s="1">
        <v>4.3207466837606896</v>
      </c>
      <c r="K4" s="1">
        <v>3.6753130774748901</v>
      </c>
      <c r="L4" s="1">
        <f t="shared" si="1"/>
        <v>1.9171106064791594</v>
      </c>
    </row>
    <row r="5" spans="1:12" x14ac:dyDescent="0.25">
      <c r="A5" t="s">
        <v>51</v>
      </c>
      <c r="B5">
        <v>4</v>
      </c>
      <c r="C5">
        <v>544</v>
      </c>
      <c r="D5">
        <v>408</v>
      </c>
      <c r="E5">
        <v>1E-3</v>
      </c>
      <c r="F5" t="s">
        <v>56</v>
      </c>
      <c r="G5" t="str">
        <f t="shared" si="0"/>
        <v>Adam</v>
      </c>
      <c r="H5" s="2">
        <v>977.98298072814896</v>
      </c>
      <c r="I5" s="1">
        <v>0.42573156134959</v>
      </c>
      <c r="J5" s="1">
        <v>4.6179791022288104</v>
      </c>
      <c r="K5" s="1">
        <v>3.7696418987685099</v>
      </c>
      <c r="L5" s="1">
        <f t="shared" si="1"/>
        <v>1.9415565659461251</v>
      </c>
    </row>
    <row r="6" spans="1:12" x14ac:dyDescent="0.25">
      <c r="A6" t="s">
        <v>51</v>
      </c>
      <c r="B6">
        <v>4</v>
      </c>
      <c r="C6">
        <v>362</v>
      </c>
      <c r="D6">
        <v>272</v>
      </c>
      <c r="E6">
        <v>0.01</v>
      </c>
      <c r="F6" t="s">
        <v>55</v>
      </c>
      <c r="G6" t="str">
        <f t="shared" si="0"/>
        <v>SGD</v>
      </c>
      <c r="H6" s="2">
        <v>420.65616893768299</v>
      </c>
      <c r="I6" s="1">
        <v>1.0572849500621699</v>
      </c>
      <c r="J6" s="1">
        <v>5.1307835155411698</v>
      </c>
      <c r="K6" s="1">
        <v>3.8372765152077899</v>
      </c>
      <c r="L6" s="1">
        <f t="shared" si="1"/>
        <v>1.9588967597113918</v>
      </c>
    </row>
    <row r="7" spans="1:12" x14ac:dyDescent="0.25">
      <c r="A7" t="s">
        <v>51</v>
      </c>
      <c r="B7">
        <v>4</v>
      </c>
      <c r="C7">
        <v>544</v>
      </c>
      <c r="D7">
        <v>408</v>
      </c>
      <c r="E7">
        <v>0.01</v>
      </c>
      <c r="F7" t="s">
        <v>52</v>
      </c>
      <c r="G7" t="str">
        <f t="shared" si="0"/>
        <v>Adam</v>
      </c>
      <c r="H7" s="2">
        <v>1135.4246554374599</v>
      </c>
      <c r="I7" s="1">
        <v>0.51448201436121499</v>
      </c>
      <c r="J7" s="1">
        <v>4.76009154202122</v>
      </c>
      <c r="K7" s="1">
        <v>4.0634050779044601</v>
      </c>
      <c r="L7" s="1">
        <f t="shared" si="1"/>
        <v>2.0157889467661194</v>
      </c>
    </row>
    <row r="8" spans="1:12" x14ac:dyDescent="0.25">
      <c r="A8" t="s">
        <v>51</v>
      </c>
      <c r="B8">
        <v>4</v>
      </c>
      <c r="C8">
        <v>544</v>
      </c>
      <c r="D8">
        <v>408</v>
      </c>
      <c r="E8">
        <v>1E-3</v>
      </c>
      <c r="F8" t="s">
        <v>58</v>
      </c>
      <c r="G8" t="str">
        <f t="shared" si="0"/>
        <v>SGD</v>
      </c>
      <c r="H8" s="2">
        <v>1172.3358573913499</v>
      </c>
      <c r="I8" s="1">
        <v>0.375382314209176</v>
      </c>
      <c r="J8" s="1">
        <v>6.2232799828052503</v>
      </c>
      <c r="K8" s="1">
        <v>4.2913992781388099</v>
      </c>
      <c r="L8" s="1">
        <f t="shared" si="1"/>
        <v>2.0715692791067379</v>
      </c>
    </row>
    <row r="9" spans="1:12" x14ac:dyDescent="0.25">
      <c r="A9" t="s">
        <v>51</v>
      </c>
      <c r="B9">
        <v>4</v>
      </c>
      <c r="C9">
        <v>544</v>
      </c>
      <c r="D9">
        <v>408</v>
      </c>
      <c r="E9">
        <v>0.01</v>
      </c>
      <c r="F9" t="s">
        <v>54</v>
      </c>
      <c r="G9" t="str">
        <f t="shared" si="0"/>
        <v>SGD</v>
      </c>
      <c r="H9" s="2">
        <v>1172.1909306049299</v>
      </c>
      <c r="I9" s="1">
        <v>0.48433924052102501</v>
      </c>
      <c r="J9" s="1">
        <v>6.0573662616508503</v>
      </c>
      <c r="K9" s="1">
        <v>5.0924073865539103</v>
      </c>
      <c r="L9" s="1">
        <f t="shared" si="1"/>
        <v>2.256636299130613</v>
      </c>
    </row>
    <row r="10" spans="1:12" x14ac:dyDescent="0.25"/>
    <row r="11" spans="1:12" hidden="1" x14ac:dyDescent="0.25"/>
    <row r="12" spans="1:12" hidden="1" x14ac:dyDescent="0.25"/>
    <row r="13" spans="1:12" hidden="1" x14ac:dyDescent="0.25"/>
    <row r="14" spans="1:12" hidden="1" x14ac:dyDescent="0.25"/>
    <row r="15" spans="1:12" hidden="1" x14ac:dyDescent="0.25"/>
    <row r="16" spans="1:12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030D3-1611-4DF8-8829-B25FB2624F08}">
  <sheetPr codeName="Sheet6">
    <tabColor theme="9" tint="0.39997558519241921"/>
  </sheetPr>
  <dimension ref="A1:P52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6" width="9.140625" customWidth="1"/>
    <col min="7" max="7" width="11.5703125" customWidth="1"/>
    <col min="8" max="8" width="9.140625" customWidth="1"/>
    <col min="9" max="9" width="9.85546875" bestFit="1" customWidth="1"/>
    <col min="10" max="10" width="9.140625" customWidth="1"/>
    <col min="11" max="11" width="5" customWidth="1"/>
    <col min="12" max="12" width="9.140625" hidden="1" customWidth="1"/>
    <col min="13" max="16" width="0" hidden="1" customWidth="1"/>
    <col min="17" max="16384" width="9.140625" hidden="1"/>
  </cols>
  <sheetData>
    <row r="1" spans="2:10" x14ac:dyDescent="0.25"/>
    <row r="2" spans="2:10" x14ac:dyDescent="0.25">
      <c r="B2" t="s">
        <v>8</v>
      </c>
      <c r="C2">
        <v>544</v>
      </c>
      <c r="D2" t="s">
        <v>60</v>
      </c>
      <c r="E2">
        <v>0.01</v>
      </c>
      <c r="G2" t="s">
        <v>8</v>
      </c>
      <c r="H2">
        <v>544</v>
      </c>
      <c r="I2" t="s">
        <v>60</v>
      </c>
      <c r="J2">
        <v>1E-3</v>
      </c>
    </row>
    <row r="3" spans="2:10" x14ac:dyDescent="0.25">
      <c r="B3" t="s">
        <v>1</v>
      </c>
      <c r="C3">
        <v>408</v>
      </c>
      <c r="D3" t="s">
        <v>3</v>
      </c>
      <c r="E3" t="s">
        <v>10</v>
      </c>
      <c r="G3" t="s">
        <v>1</v>
      </c>
      <c r="H3">
        <v>408</v>
      </c>
      <c r="I3" t="s">
        <v>3</v>
      </c>
      <c r="J3" t="s">
        <v>10</v>
      </c>
    </row>
    <row r="4" spans="2:10" x14ac:dyDescent="0.25"/>
    <row r="5" spans="2:10" x14ac:dyDescent="0.25"/>
    <row r="6" spans="2:10" x14ac:dyDescent="0.25"/>
    <row r="7" spans="2:10" x14ac:dyDescent="0.25"/>
    <row r="8" spans="2:10" x14ac:dyDescent="0.25"/>
    <row r="9" spans="2:10" x14ac:dyDescent="0.25"/>
    <row r="10" spans="2:10" x14ac:dyDescent="0.25"/>
    <row r="11" spans="2:10" x14ac:dyDescent="0.25"/>
    <row r="12" spans="2:10" x14ac:dyDescent="0.25"/>
    <row r="13" spans="2:10" x14ac:dyDescent="0.25">
      <c r="B13" t="s">
        <v>8</v>
      </c>
      <c r="C13">
        <v>362</v>
      </c>
      <c r="D13" t="s">
        <v>60</v>
      </c>
      <c r="E13">
        <v>0.01</v>
      </c>
      <c r="G13" s="3" t="s">
        <v>8</v>
      </c>
      <c r="H13" s="3">
        <v>362</v>
      </c>
      <c r="I13" s="3" t="s">
        <v>60</v>
      </c>
      <c r="J13" s="3">
        <v>1E-3</v>
      </c>
    </row>
    <row r="14" spans="2:10" x14ac:dyDescent="0.25">
      <c r="B14" t="s">
        <v>1</v>
      </c>
      <c r="C14">
        <v>272</v>
      </c>
      <c r="D14" t="s">
        <v>3</v>
      </c>
      <c r="E14" t="s">
        <v>10</v>
      </c>
      <c r="G14" s="3" t="s">
        <v>1</v>
      </c>
      <c r="H14" s="3">
        <v>272</v>
      </c>
      <c r="I14" s="3" t="s">
        <v>3</v>
      </c>
      <c r="J14" s="3" t="s">
        <v>10</v>
      </c>
    </row>
    <row r="15" spans="2:10" x14ac:dyDescent="0.25">
      <c r="G15" s="3"/>
      <c r="H15" s="3"/>
      <c r="I15" s="3"/>
      <c r="J15" s="3"/>
    </row>
    <row r="16" spans="2:10" x14ac:dyDescent="0.25"/>
    <row r="17" spans="2:10" x14ac:dyDescent="0.25"/>
    <row r="18" spans="2:10" x14ac:dyDescent="0.25"/>
    <row r="19" spans="2:10" x14ac:dyDescent="0.25"/>
    <row r="20" spans="2:10" x14ac:dyDescent="0.25"/>
    <row r="21" spans="2:10" x14ac:dyDescent="0.25"/>
    <row r="22" spans="2:10" x14ac:dyDescent="0.25"/>
    <row r="23" spans="2:10" x14ac:dyDescent="0.25"/>
    <row r="24" spans="2:10" x14ac:dyDescent="0.25">
      <c r="B24" t="s">
        <v>8</v>
      </c>
      <c r="C24">
        <v>544</v>
      </c>
      <c r="D24" t="s">
        <v>60</v>
      </c>
      <c r="E24">
        <v>0.01</v>
      </c>
      <c r="G24" t="s">
        <v>8</v>
      </c>
      <c r="H24">
        <v>544</v>
      </c>
      <c r="I24" t="s">
        <v>60</v>
      </c>
      <c r="J24">
        <v>1E-3</v>
      </c>
    </row>
    <row r="25" spans="2:10" x14ac:dyDescent="0.25">
      <c r="B25" t="s">
        <v>1</v>
      </c>
      <c r="C25">
        <v>408</v>
      </c>
      <c r="D25" t="s">
        <v>3</v>
      </c>
      <c r="E25" t="s">
        <v>11</v>
      </c>
      <c r="G25" t="s">
        <v>1</v>
      </c>
      <c r="H25">
        <v>408</v>
      </c>
      <c r="I25" t="s">
        <v>3</v>
      </c>
      <c r="J25" t="s">
        <v>11</v>
      </c>
    </row>
    <row r="26" spans="2:10" x14ac:dyDescent="0.25"/>
    <row r="27" spans="2:10" x14ac:dyDescent="0.25"/>
    <row r="28" spans="2:10" x14ac:dyDescent="0.25"/>
    <row r="29" spans="2:10" x14ac:dyDescent="0.25"/>
    <row r="30" spans="2:10" x14ac:dyDescent="0.25"/>
    <row r="31" spans="2:10" x14ac:dyDescent="0.25"/>
    <row r="32" spans="2:10" x14ac:dyDescent="0.25"/>
    <row r="33" spans="2:10" x14ac:dyDescent="0.25"/>
    <row r="34" spans="2:10" x14ac:dyDescent="0.25"/>
    <row r="35" spans="2:10" x14ac:dyDescent="0.25">
      <c r="B35" t="s">
        <v>8</v>
      </c>
      <c r="C35">
        <v>362</v>
      </c>
      <c r="D35" t="s">
        <v>60</v>
      </c>
      <c r="E35">
        <v>0.01</v>
      </c>
      <c r="G35" t="s">
        <v>8</v>
      </c>
      <c r="H35">
        <v>362</v>
      </c>
      <c r="I35" t="s">
        <v>60</v>
      </c>
      <c r="J35">
        <v>1E-3</v>
      </c>
    </row>
    <row r="36" spans="2:10" x14ac:dyDescent="0.25">
      <c r="B36" t="s">
        <v>1</v>
      </c>
      <c r="C36">
        <v>272</v>
      </c>
      <c r="D36" t="s">
        <v>3</v>
      </c>
      <c r="E36" t="s">
        <v>11</v>
      </c>
      <c r="G36" t="s">
        <v>1</v>
      </c>
      <c r="H36">
        <v>272</v>
      </c>
      <c r="I36" t="s">
        <v>3</v>
      </c>
      <c r="J36" t="s">
        <v>11</v>
      </c>
    </row>
    <row r="37" spans="2:10" x14ac:dyDescent="0.25"/>
    <row r="38" spans="2:10" x14ac:dyDescent="0.25"/>
    <row r="39" spans="2:10" x14ac:dyDescent="0.25"/>
    <row r="40" spans="2:10" x14ac:dyDescent="0.25"/>
    <row r="41" spans="2:10" x14ac:dyDescent="0.25"/>
    <row r="42" spans="2:10" x14ac:dyDescent="0.25"/>
    <row r="43" spans="2:10" x14ac:dyDescent="0.25"/>
    <row r="44" spans="2:10" x14ac:dyDescent="0.25"/>
    <row r="45" spans="2:10" x14ac:dyDescent="0.25"/>
    <row r="46" spans="2:10" x14ac:dyDescent="0.25"/>
    <row r="47" spans="2:10" ht="15" hidden="1" customHeight="1" x14ac:dyDescent="0.25"/>
    <row r="48" spans="2:10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summ_results_transf_learn</vt:lpstr>
      <vt:lpstr>TF_LearnRate_0.1</vt:lpstr>
      <vt:lpstr>TF_LearnRate_0.01</vt:lpstr>
      <vt:lpstr>TF_LearnRate_0.001</vt:lpstr>
      <vt:lpstr>summ_results_fine_tuning</vt:lpstr>
      <vt:lpstr>Fine_Tuning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Ignacio D. Lopez</cp:lastModifiedBy>
  <dcterms:created xsi:type="dcterms:W3CDTF">2020-06-10T18:30:18Z</dcterms:created>
  <dcterms:modified xsi:type="dcterms:W3CDTF">2020-06-16T16:41:38Z</dcterms:modified>
</cp:coreProperties>
</file>