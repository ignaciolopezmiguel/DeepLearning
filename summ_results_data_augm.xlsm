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827" codeName="{2E6947BB-A706-504E-29CB-9DD9B776343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Master AEPIA\1er año\6. Deep learning\Trabajo\all\"/>
    </mc:Choice>
  </mc:AlternateContent>
  <xr:revisionPtr revIDLastSave="0" documentId="13_ncr:1_{E5AE101F-005B-4D6F-B981-23D89F2D5D43}" xr6:coauthVersionLast="45" xr6:coauthVersionMax="45" xr10:uidLastSave="{00000000-0000-0000-0000-000000000000}"/>
  <bookViews>
    <workbookView xWindow="-120" yWindow="-120" windowWidth="29040" windowHeight="15840" tabRatio="800" xr2:uid="{00000000-000D-0000-FFFF-FFFF00000000}"/>
  </bookViews>
  <sheets>
    <sheet name="summ_results_DA_sencillo" sheetId="1" r:id="rId1"/>
    <sheet name="DA_Base" sheetId="2" r:id="rId2"/>
    <sheet name="DA_Extra" sheetId="3" r:id="rId3"/>
    <sheet name="DA_Extra_filt" sheetId="4" r:id="rId4"/>
    <sheet name="summ_results_DA_fine_tuning" sheetId="5" r:id="rId5"/>
    <sheet name="DA_Fine_Tuning" sheetId="6" r:id="rId6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L19" i="1" l="1"/>
  <c r="G19" i="1"/>
  <c r="L18" i="1"/>
  <c r="G18" i="1"/>
  <c r="L17" i="1"/>
  <c r="G17" i="1"/>
  <c r="L16" i="1"/>
  <c r="G16" i="1"/>
  <c r="L15" i="1"/>
  <c r="G15" i="1"/>
  <c r="L14" i="1"/>
  <c r="G14" i="1"/>
  <c r="L9" i="1"/>
  <c r="G9" i="1"/>
  <c r="L13" i="1"/>
  <c r="G13" i="1"/>
  <c r="L12" i="1"/>
  <c r="G12" i="1"/>
  <c r="L10" i="1"/>
  <c r="G10" i="1"/>
  <c r="L11" i="1"/>
  <c r="G11" i="1"/>
  <c r="L8" i="1"/>
  <c r="G8" i="1"/>
  <c r="L2" i="1"/>
  <c r="G2" i="1"/>
  <c r="L7" i="1"/>
  <c r="G7" i="1"/>
  <c r="L3" i="1"/>
  <c r="G3" i="1"/>
  <c r="L4" i="1"/>
  <c r="G4" i="1"/>
  <c r="L5" i="1"/>
  <c r="G5" i="1"/>
  <c r="L6" i="1"/>
  <c r="G6" i="1"/>
  <c r="L6" i="5" l="1"/>
  <c r="G6" i="5"/>
  <c r="L8" i="5"/>
  <c r="G8" i="5"/>
  <c r="L3" i="5"/>
  <c r="G3" i="5"/>
  <c r="L7" i="5"/>
  <c r="G7" i="5"/>
  <c r="L5" i="5"/>
  <c r="G5" i="5"/>
  <c r="L9" i="5"/>
  <c r="G9" i="5"/>
  <c r="L4" i="5"/>
  <c r="G4" i="5"/>
  <c r="L2" i="5"/>
  <c r="G2" i="5"/>
</calcChain>
</file>

<file path=xl/sharedStrings.xml><?xml version="1.0" encoding="utf-8"?>
<sst xmlns="http://schemas.openxmlformats.org/spreadsheetml/2006/main" count="206" uniqueCount="45">
  <si>
    <t>Batch</t>
  </si>
  <si>
    <t>Height</t>
  </si>
  <si>
    <t>LearnRate</t>
  </si>
  <si>
    <t>Optimizer</t>
  </si>
  <si>
    <t>Test_loss</t>
  </si>
  <si>
    <t>Time</t>
  </si>
  <si>
    <t>Train_loss</t>
  </si>
  <si>
    <t>Val_loss</t>
  </si>
  <si>
    <t>Width</t>
  </si>
  <si>
    <t>Arq</t>
  </si>
  <si>
    <t>Adam</t>
  </si>
  <si>
    <t>SGD</t>
  </si>
  <si>
    <t>Optimizer2</t>
  </si>
  <si>
    <t>Test_RMSE</t>
  </si>
  <si>
    <t>Learn Rate</t>
  </si>
  <si>
    <t>DA_FN_VGG16</t>
  </si>
  <si>
    <t>&lt;tensorflow.python.keras.optimizer_v2.adam.Adam object at 0x7fc580f9fb00&gt;</t>
  </si>
  <si>
    <t>&lt;tensorflow.python.keras.optimizer_v2.adam.Adam object at 0x7fc580f67128&gt;</t>
  </si>
  <si>
    <t>&lt;tensorflow.python.keras.optimizer_v2.gradient_descent.SGD object at 0x7fc580f67208&gt;</t>
  </si>
  <si>
    <t>&lt;tensorflow.python.keras.optimizer_v2.gradient_descent.SGD object at 0x7fc580f67080&gt;</t>
  </si>
  <si>
    <t>&lt;tensorflow.python.keras.optimizer_v2.adam.Adam object at 0x7fc580f67240&gt;</t>
  </si>
  <si>
    <t>&lt;tensorflow.python.keras.optimizer_v2.adam.Adam object at 0x7fc580f67358&gt;</t>
  </si>
  <si>
    <t>&lt;tensorflow.python.keras.optimizer_v2.gradient_descent.SGD object at 0x7fc580f674a8&gt;</t>
  </si>
  <si>
    <t>&lt;tensorflow.python.keras.optimizer_v2.gradient_descent.SGD object at 0x7fc580f674e0&gt;</t>
  </si>
  <si>
    <t>DA_Base</t>
  </si>
  <si>
    <t>&lt;tensorflow.python.keras.optimizer_v2.adam.Adam object at 0x7f4a874c69e8&gt;</t>
  </si>
  <si>
    <t>&lt;tensorflow.python.keras.optimizer_v2.adam.Adam object at 0x7f4a874c6f60&gt;</t>
  </si>
  <si>
    <t>&lt;tensorflow.python.keras.optimizer_v2.adam.Adam object at 0x7f4a874c62e8&gt;</t>
  </si>
  <si>
    <t>&lt;tensorflow.python.keras.optimizer_v2.adam.Adam object at 0x7f4a874c6cc0&gt;</t>
  </si>
  <si>
    <t>&lt;tensorflow.python.keras.optimizer_v2.adam.Adam object at 0x7f4a874c6f98&gt;</t>
  </si>
  <si>
    <t>&lt;tensorflow.python.keras.optimizer_v2.adam.Adam object at 0x7f4a86c343c8&gt;</t>
  </si>
  <si>
    <t>DA_Extra</t>
  </si>
  <si>
    <t>&lt;tensorflow.python.keras.optimizer_v2.adam.Adam object at 0x7f3d3376bb00&gt;</t>
  </si>
  <si>
    <t>&lt;tensorflow.python.keras.optimizer_v2.adam.Adam object at 0x7f3d337e15f8&gt;</t>
  </si>
  <si>
    <t>&lt;tensorflow.python.keras.optimizer_v2.adam.Adam object at 0x7f3d337a57f0&gt;</t>
  </si>
  <si>
    <t>&lt;tensorflow.python.keras.optimizer_v2.adam.Adam object at 0x7f3d337a5828&gt;</t>
  </si>
  <si>
    <t>&lt;tensorflow.python.keras.optimizer_v2.adam.Adam object at 0x7f3d32e250f0&gt;</t>
  </si>
  <si>
    <t>&lt;tensorflow.python.keras.optimizer_v2.adam.Adam object at 0x7f3d32e25320&gt;</t>
  </si>
  <si>
    <t>DA_Extra_filt</t>
  </si>
  <si>
    <t>&lt;tensorflow.python.keras.optimizer_v2.adam.Adam object at 0x7f05b99c97b8&gt;</t>
  </si>
  <si>
    <t>&lt;tensorflow.python.keras.optimizer_v2.adam.Adam object at 0x7f05b99c9630&gt;</t>
  </si>
  <si>
    <t>&lt;tensorflow.python.keras.optimizer_v2.adam.Adam object at 0x7f05b99c9c88&gt;</t>
  </si>
  <si>
    <t>&lt;tensorflow.python.keras.optimizer_v2.adam.Adam object at 0x7f05b99c9b38&gt;</t>
  </si>
  <si>
    <t>&lt;tensorflow.python.keras.optimizer_v2.adam.Adam object at 0x7f05b99c9b70&gt;</t>
  </si>
  <si>
    <t>&lt;tensorflow.python.keras.optimizer_v2.gradient_descent.SGD object at 0x7f05b99c9eb8&gt;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</si>
</sst>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9" tint="0.39997558519241921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thin">
        <color indexed="64"/>
      </top>
      <bottom/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0">
    <xf numFmtId="0" fontId="0" fillId="0" borderId="0" xfId="0"/>
    <xf numFmtId="2" fontId="0" fillId="0" borderId="0" xfId="0" applyNumberFormat="1"/>
    <xf numFmtId="1" fontId="0" fillId="0" borderId="0" xfId="0" applyNumberFormat="1"/>
    <xf numFmtId="0" fontId="0" fillId="0" borderId="0" xfId="0" applyFill="1"/>
    <xf numFmtId="0" fontId="0" fillId="33" borderId="0" xfId="0" applyFill="1"/>
    <xf numFmtId="1" fontId="0" fillId="33" borderId="0" xfId="0" applyNumberFormat="1" applyFill="1"/>
    <xf numFmtId="2" fontId="0" fillId="33" borderId="0" xfId="0" applyNumberFormat="1" applyFill="1"/>
    <xf numFmtId="0" fontId="0" fillId="0" borderId="10" xfId="0" applyBorder="1"/>
    <xf numFmtId="1" fontId="0" fillId="0" borderId="10" xfId="0" applyNumberFormat="1" applyBorder="1"/>
    <xf numFmtId="2" fontId="0" fillId="0" borderId="10" xfId="0" applyNumberFormat="1" applyBorder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10"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" formatCode="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" formatCode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file:///D:\Master%20AEPIA\1er%20a&#241;o\6.%20Deep%20learning\Trabajo\all\DA_Base_LR0.01_OPT.keras.optimizer_v2.adam.Adam_BASZ8_WD544.jpg" TargetMode="External"/><Relationship Id="rId2" Type="http://schemas.openxmlformats.org/officeDocument/2006/relationships/image" Target="file:///D:\Master%20AEPIA\1er%20a&#241;o\6.%20Deep%20learning\Trabajo\all\DA_Base_LR0.01_OPT.keras.optimizer_v2.adam.Adam_BASZ8_WD362.jpg" TargetMode="External"/><Relationship Id="rId1" Type="http://schemas.openxmlformats.org/officeDocument/2006/relationships/image" Target="file:///D:\Master%20AEPIA\1er%20a&#241;o\6.%20Deep%20learning\Trabajo\all\DA_Base_LR0.01_OPT.keras.optimizer_v2.adam.Adam_BASZ4_WD544.jpg" TargetMode="External"/><Relationship Id="rId6" Type="http://schemas.openxmlformats.org/officeDocument/2006/relationships/image" Target="file:///D:\Master%20AEPIA\1er%20a&#241;o\6.%20Deep%20learning\Trabajo\all\DA_Base_LR0.001_OPT.keras.optimizer_v2.adam.Adam_BASZ8_WD544.jpg" TargetMode="External"/><Relationship Id="rId5" Type="http://schemas.openxmlformats.org/officeDocument/2006/relationships/image" Target="file:///D:\Master%20AEPIA\1er%20a&#241;o\6.%20Deep%20learning\Trabajo\all\DA_Base_LR0.001_OPT.keras.optimizer_v2.adam.Adam_BASZ4_WD544.jpg" TargetMode="External"/><Relationship Id="rId4" Type="http://schemas.openxmlformats.org/officeDocument/2006/relationships/image" Target="file:///D:\Master%20AEPIA\1er%20a&#241;o\6.%20Deep%20learning\Trabajo\all\DA_Base_LR0.1_OPT.keras.optimizer_v2.adam.Adam_BASZ16_WD544.jpg" TargetMode="Externa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file:///D:\Master%20AEPIA\1er%20a&#241;o\6.%20Deep%20learning\Trabajo\all\DA_Extra_LR0.1_OPT.keras.optimizer_v2.adam.Adam_BASZ16_WD544.jpg" TargetMode="External"/><Relationship Id="rId2" Type="http://schemas.openxmlformats.org/officeDocument/2006/relationships/image" Target="file:///D:\Master%20AEPIA\1er%20a&#241;o\6.%20Deep%20learning\Trabajo\all\DA_Extra_LR0.01_OPT.keras.optimizer_v2.adam.Adam_BASZ4_WD544.jpg" TargetMode="External"/><Relationship Id="rId1" Type="http://schemas.openxmlformats.org/officeDocument/2006/relationships/image" Target="file:///D:\Master%20AEPIA\1er%20a&#241;o\6.%20Deep%20learning\Trabajo\all\DA_Extra_LR0.001_OPT.keras.optimizer_v2.adam.Adam_BASZ8_WD362.jpg" TargetMode="External"/><Relationship Id="rId6" Type="http://schemas.openxmlformats.org/officeDocument/2006/relationships/image" Target="file:///D:\Master%20AEPIA\1er%20a&#241;o\6.%20Deep%20learning\Trabajo\all\DA_Extra_LR0.1_OPT.keras.optimizer_v2.adam.Adam_BASZ4_WD544.jpg" TargetMode="External"/><Relationship Id="rId5" Type="http://schemas.openxmlformats.org/officeDocument/2006/relationships/image" Target="file:///D:\Master%20AEPIA\1er%20a&#241;o\6.%20Deep%20learning\Trabajo\all\DA_Extra_LR0.01_OPT.keras.optimizer_v2.adam.Adam_BASZ16_WD544.jpg" TargetMode="External"/><Relationship Id="rId4" Type="http://schemas.openxmlformats.org/officeDocument/2006/relationships/image" Target="file:///D:\Master%20AEPIA\1er%20a&#241;o\6.%20Deep%20learning\Trabajo\all\DA_Extra_LR0.001_OPT.keras.optimizer_v2.adam.Adam_BASZ4_WD544.jpg" TargetMode="Externa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file:///D:\Master%20AEPIA\1er%20a&#241;o\6.%20Deep%20learning\Trabajo\all\DA_Extra_filt_LR0.01_OPT.keras.optimizer_v2.adam.Adam_BASZ8_WD544.jpg" TargetMode="External"/><Relationship Id="rId2" Type="http://schemas.openxmlformats.org/officeDocument/2006/relationships/image" Target="file:///D:\Master%20AEPIA\1er%20a&#241;o\6.%20Deep%20learning\Trabajo\all\DA_Extra_filt_LR0.1_OPT.keras.optimizer_v2.adam.Adam_BASZ8_WD544.jpg" TargetMode="External"/><Relationship Id="rId1" Type="http://schemas.openxmlformats.org/officeDocument/2006/relationships/image" Target="file:///D:\Master%20AEPIA\1er%20a&#241;o\6.%20Deep%20learning\Trabajo\all\DA_Extra_filt_LR0.001_OPT.keras.optimizer_v2.gradient_descent.SGD_BASZ4_WD544.jpg" TargetMode="External"/><Relationship Id="rId6" Type="http://schemas.openxmlformats.org/officeDocument/2006/relationships/image" Target="file:///D:\Master%20AEPIA\1er%20a&#241;o\6.%20Deep%20learning\Trabajo\all\DA_Extra_filt_LR0.001_OPT.keras.optimizer_v2.adam.Adam_BASZ8_WD544.jpg" TargetMode="External"/><Relationship Id="rId5" Type="http://schemas.openxmlformats.org/officeDocument/2006/relationships/image" Target="file:///D:\Master%20AEPIA\1er%20a&#241;o\6.%20Deep%20learning\Trabajo\all\DA_Extra_filt_LR0.01_OPT.keras.optimizer_v2.adam.Adam_BASZ4_WD544.jpg" TargetMode="External"/><Relationship Id="rId4" Type="http://schemas.openxmlformats.org/officeDocument/2006/relationships/image" Target="file:///D:\Master%20AEPIA\1er%20a&#241;o\6.%20Deep%20learning\Trabajo\all\DA_Extra_filt_LR0.1_OPT.keras.optimizer_v2.adam.Adam_BASZ4_WD544.jpg" TargetMode="Externa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file:///D:\Master%20AEPIA\1er%20a&#241;o\6.%20Deep%20learning\Trabajo\all\DA_FN_VGG16_LR0.01_OPT.keras.optimizer_v2.adam.Adam_BASZ4_WD544.jpg" TargetMode="External"/><Relationship Id="rId3" Type="http://schemas.openxmlformats.org/officeDocument/2006/relationships/image" Target="file:///D:\Master%20AEPIA\1er%20a&#241;o\6.%20Deep%20learning\Trabajo\all\DA_FN_VGG16_LR0.001_OPT.keras.optimizer_v2.adam.Adam_BASZ4_WD362.jpg" TargetMode="External"/><Relationship Id="rId7" Type="http://schemas.openxmlformats.org/officeDocument/2006/relationships/image" Target="file:///D:\Master%20AEPIA\1er%20a&#241;o\6.%20Deep%20learning\Trabajo\all\DA_FN_VGG16_LR0.01_OPT.keras.optimizer_v2.adam.Adam_BASZ4_WD362.jpg" TargetMode="External"/><Relationship Id="rId2" Type="http://schemas.openxmlformats.org/officeDocument/2006/relationships/image" Target="file:///D:\Master%20AEPIA\1er%20a&#241;o\6.%20Deep%20learning\Trabajo\all\DA_FN_VGG16_LR0.001_OPT.keras.optimizer_v2.gradient_descent.SGD_BASZ4_WD544.jpg" TargetMode="External"/><Relationship Id="rId1" Type="http://schemas.openxmlformats.org/officeDocument/2006/relationships/image" Target="file:///D:\Master%20AEPIA\1er%20a&#241;o\6.%20Deep%20learning\Trabajo\all\DA_FN_VGG16_LR0.001_OPT.keras.optimizer_v2.gradient_descent.SGD_BASZ4_WD362.jpg" TargetMode="External"/><Relationship Id="rId6" Type="http://schemas.openxmlformats.org/officeDocument/2006/relationships/image" Target="file:///D:\Master%20AEPIA\1er%20a&#241;o\6.%20Deep%20learning\Trabajo\all\DA_FN_VGG16_LR0.01_OPT.keras.optimizer_v2.gradient_descent.SGD_BASZ4_WD544.jpg" TargetMode="External"/><Relationship Id="rId5" Type="http://schemas.openxmlformats.org/officeDocument/2006/relationships/image" Target="file:///D:\Master%20AEPIA\1er%20a&#241;o\6.%20Deep%20learning\Trabajo\all\DA_FN_VGG16_LR0.01_OPT.keras.optimizer_v2.gradient_descent.SGD_BASZ4_WD362.jpg" TargetMode="External"/><Relationship Id="rId4" Type="http://schemas.openxmlformats.org/officeDocument/2006/relationships/image" Target="file:///D:\Master%20AEPIA\1er%20a&#241;o\6.%20Deep%20learning\Trabajo\all\DA_FN_VGG16_LR0.001_OPT.keras.optimizer_v2.adam.Adam_BASZ4_WD544.jpg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</xdr:row>
      <xdr:rowOff>0</xdr:rowOff>
    </xdr:from>
    <xdr:to>
      <xdr:col>4</xdr:col>
      <xdr:colOff>501650</xdr:colOff>
      <xdr:row>11</xdr:row>
      <xdr:rowOff>174388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7801E476-E300-4EA0-928B-6B743E431C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19075" y="571500"/>
          <a:ext cx="2540000" cy="1698388"/>
        </a:xfrm>
        <a:prstGeom prst="rect">
          <a:avLst/>
        </a:prstGeom>
      </xdr:spPr>
    </xdr:pic>
    <xdr:clientData/>
  </xdr:twoCellAnchor>
  <xdr:twoCellAnchor>
    <xdr:from>
      <xdr:col>6</xdr:col>
      <xdr:colOff>0</xdr:colOff>
      <xdr:row>25</xdr:row>
      <xdr:rowOff>0</xdr:rowOff>
    </xdr:from>
    <xdr:to>
      <xdr:col>9</xdr:col>
      <xdr:colOff>492125</xdr:colOff>
      <xdr:row>33</xdr:row>
      <xdr:rowOff>172278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8DC060A4-F3CE-4D98-8010-FE65FC2E0C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3476625" y="4762500"/>
          <a:ext cx="2540000" cy="1696278"/>
        </a:xfrm>
        <a:prstGeom prst="rect">
          <a:avLst/>
        </a:prstGeom>
      </xdr:spPr>
    </xdr:pic>
    <xdr:clientData/>
  </xdr:twoCellAnchor>
  <xdr:twoCellAnchor>
    <xdr:from>
      <xdr:col>6</xdr:col>
      <xdr:colOff>0</xdr:colOff>
      <xdr:row>3</xdr:row>
      <xdr:rowOff>0</xdr:rowOff>
    </xdr:from>
    <xdr:to>
      <xdr:col>9</xdr:col>
      <xdr:colOff>492125</xdr:colOff>
      <xdr:row>11</xdr:row>
      <xdr:rowOff>172278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D3DA6C22-E30F-48AF-8AB9-1DDA8E8DCE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476625" y="571500"/>
          <a:ext cx="2540000" cy="1696278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14</xdr:row>
      <xdr:rowOff>0</xdr:rowOff>
    </xdr:from>
    <xdr:to>
      <xdr:col>4</xdr:col>
      <xdr:colOff>501650</xdr:colOff>
      <xdr:row>22</xdr:row>
      <xdr:rowOff>172278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9FF36056-126E-4E3F-A36E-555AB00C00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9075" y="2667000"/>
          <a:ext cx="2540000" cy="1696278"/>
        </a:xfrm>
        <a:prstGeom prst="rect">
          <a:avLst/>
        </a:prstGeom>
      </xdr:spPr>
    </xdr:pic>
    <xdr:clientData/>
  </xdr:twoCellAnchor>
  <xdr:twoCellAnchor>
    <xdr:from>
      <xdr:col>6</xdr:col>
      <xdr:colOff>0</xdr:colOff>
      <xdr:row>14</xdr:row>
      <xdr:rowOff>0</xdr:rowOff>
    </xdr:from>
    <xdr:to>
      <xdr:col>9</xdr:col>
      <xdr:colOff>492125</xdr:colOff>
      <xdr:row>22</xdr:row>
      <xdr:rowOff>172278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AD7F7E27-3515-415D-9E72-3A3847B9B5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3476625" y="2667000"/>
          <a:ext cx="2540000" cy="1696278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25</xdr:row>
      <xdr:rowOff>0</xdr:rowOff>
    </xdr:from>
    <xdr:to>
      <xdr:col>4</xdr:col>
      <xdr:colOff>501650</xdr:colOff>
      <xdr:row>33</xdr:row>
      <xdr:rowOff>172278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2F49CF98-10EF-4056-B601-39F3A1FAFA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19075" y="4762500"/>
          <a:ext cx="2540000" cy="169627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3</xdr:row>
      <xdr:rowOff>0</xdr:rowOff>
    </xdr:from>
    <xdr:to>
      <xdr:col>9</xdr:col>
      <xdr:colOff>492125</xdr:colOff>
      <xdr:row>11</xdr:row>
      <xdr:rowOff>174388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41B551B-6CF4-4563-B7FB-12D80EDFF1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419475" y="571500"/>
          <a:ext cx="2540000" cy="1698388"/>
        </a:xfrm>
        <a:prstGeom prst="rect">
          <a:avLst/>
        </a:prstGeom>
      </xdr:spPr>
    </xdr:pic>
    <xdr:clientData/>
  </xdr:twoCellAnchor>
  <xdr:twoCellAnchor>
    <xdr:from>
      <xdr:col>6</xdr:col>
      <xdr:colOff>0</xdr:colOff>
      <xdr:row>25</xdr:row>
      <xdr:rowOff>0</xdr:rowOff>
    </xdr:from>
    <xdr:to>
      <xdr:col>9</xdr:col>
      <xdr:colOff>492125</xdr:colOff>
      <xdr:row>33</xdr:row>
      <xdr:rowOff>174388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5063A597-E442-4BEA-9030-8F68D6228F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3419475" y="4762500"/>
          <a:ext cx="2540000" cy="1698388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25</xdr:row>
      <xdr:rowOff>0</xdr:rowOff>
    </xdr:from>
    <xdr:to>
      <xdr:col>4</xdr:col>
      <xdr:colOff>558800</xdr:colOff>
      <xdr:row>33</xdr:row>
      <xdr:rowOff>174388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A3D1FB42-DE6D-4EC2-9A88-3264522CE5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9075" y="4762500"/>
          <a:ext cx="2540000" cy="1698388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14</xdr:row>
      <xdr:rowOff>0</xdr:rowOff>
    </xdr:from>
    <xdr:to>
      <xdr:col>4</xdr:col>
      <xdr:colOff>558800</xdr:colOff>
      <xdr:row>22</xdr:row>
      <xdr:rowOff>174388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8D1A1EA8-188D-4267-A7A1-2DF3F00599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9075" y="2667000"/>
          <a:ext cx="2540000" cy="1698388"/>
        </a:xfrm>
        <a:prstGeom prst="rect">
          <a:avLst/>
        </a:prstGeom>
      </xdr:spPr>
    </xdr:pic>
    <xdr:clientData/>
  </xdr:twoCellAnchor>
  <xdr:twoCellAnchor>
    <xdr:from>
      <xdr:col>6</xdr:col>
      <xdr:colOff>0</xdr:colOff>
      <xdr:row>14</xdr:row>
      <xdr:rowOff>0</xdr:rowOff>
    </xdr:from>
    <xdr:to>
      <xdr:col>9</xdr:col>
      <xdr:colOff>492125</xdr:colOff>
      <xdr:row>22</xdr:row>
      <xdr:rowOff>174388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D5F7D408-366D-40F5-A65A-EFCA337732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3419475" y="2667000"/>
          <a:ext cx="2540000" cy="1698388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3</xdr:row>
      <xdr:rowOff>0</xdr:rowOff>
    </xdr:from>
    <xdr:to>
      <xdr:col>4</xdr:col>
      <xdr:colOff>558800</xdr:colOff>
      <xdr:row>11</xdr:row>
      <xdr:rowOff>174388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3CE5C203-3414-4F31-ACBA-54829E710C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19075" y="571500"/>
          <a:ext cx="2540000" cy="1698388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25</xdr:row>
      <xdr:rowOff>0</xdr:rowOff>
    </xdr:from>
    <xdr:to>
      <xdr:col>9</xdr:col>
      <xdr:colOff>492125</xdr:colOff>
      <xdr:row>33</xdr:row>
      <xdr:rowOff>174388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BB324ECC-8722-45CF-8B19-F2FF2D2BD0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419475" y="4762500"/>
          <a:ext cx="2540000" cy="1698388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25</xdr:row>
      <xdr:rowOff>0</xdr:rowOff>
    </xdr:from>
    <xdr:to>
      <xdr:col>4</xdr:col>
      <xdr:colOff>558800</xdr:colOff>
      <xdr:row>33</xdr:row>
      <xdr:rowOff>174388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3BF9D04A-6B89-49F5-B805-65D44EB923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9075" y="4762500"/>
          <a:ext cx="2540000" cy="1698388"/>
        </a:xfrm>
        <a:prstGeom prst="rect">
          <a:avLst/>
        </a:prstGeom>
      </xdr:spPr>
    </xdr:pic>
    <xdr:clientData/>
  </xdr:twoCellAnchor>
  <xdr:twoCellAnchor>
    <xdr:from>
      <xdr:col>6</xdr:col>
      <xdr:colOff>0</xdr:colOff>
      <xdr:row>14</xdr:row>
      <xdr:rowOff>0</xdr:rowOff>
    </xdr:from>
    <xdr:to>
      <xdr:col>9</xdr:col>
      <xdr:colOff>492125</xdr:colOff>
      <xdr:row>22</xdr:row>
      <xdr:rowOff>174388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EFAD576E-1E1A-42EC-B8FE-AD9D6B0C5C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419475" y="2667000"/>
          <a:ext cx="2540000" cy="1698388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14</xdr:row>
      <xdr:rowOff>0</xdr:rowOff>
    </xdr:from>
    <xdr:to>
      <xdr:col>4</xdr:col>
      <xdr:colOff>558800</xdr:colOff>
      <xdr:row>22</xdr:row>
      <xdr:rowOff>174388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455B7278-AC02-4BF4-9C5A-FEC3DCBA3C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9075" y="2667000"/>
          <a:ext cx="2540000" cy="1698388"/>
        </a:xfrm>
        <a:prstGeom prst="rect">
          <a:avLst/>
        </a:prstGeom>
      </xdr:spPr>
    </xdr:pic>
    <xdr:clientData/>
  </xdr:twoCellAnchor>
  <xdr:twoCellAnchor>
    <xdr:from>
      <xdr:col>6</xdr:col>
      <xdr:colOff>0</xdr:colOff>
      <xdr:row>3</xdr:row>
      <xdr:rowOff>0</xdr:rowOff>
    </xdr:from>
    <xdr:to>
      <xdr:col>9</xdr:col>
      <xdr:colOff>492125</xdr:colOff>
      <xdr:row>11</xdr:row>
      <xdr:rowOff>174388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8D6644A-DDAB-4781-BDAB-D622660143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3419475" y="571500"/>
          <a:ext cx="2540000" cy="1698388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3</xdr:row>
      <xdr:rowOff>0</xdr:rowOff>
    </xdr:from>
    <xdr:to>
      <xdr:col>4</xdr:col>
      <xdr:colOff>558800</xdr:colOff>
      <xdr:row>11</xdr:row>
      <xdr:rowOff>174388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F17EC26F-FBE7-4E2E-B02E-A0A31909B5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19075" y="571500"/>
          <a:ext cx="2540000" cy="1698388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36</xdr:row>
      <xdr:rowOff>0</xdr:rowOff>
    </xdr:from>
    <xdr:to>
      <xdr:col>9</xdr:col>
      <xdr:colOff>501650</xdr:colOff>
      <xdr:row>44</xdr:row>
      <xdr:rowOff>173543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489644CE-F7EF-4731-849D-7970CAFBEF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476625" y="6858000"/>
          <a:ext cx="2540000" cy="1697543"/>
        </a:xfrm>
        <a:prstGeom prst="rect">
          <a:avLst/>
        </a:prstGeom>
      </xdr:spPr>
    </xdr:pic>
    <xdr:clientData/>
  </xdr:twoCellAnchor>
  <xdr:twoCellAnchor>
    <xdr:from>
      <xdr:col>6</xdr:col>
      <xdr:colOff>0</xdr:colOff>
      <xdr:row>25</xdr:row>
      <xdr:rowOff>0</xdr:rowOff>
    </xdr:from>
    <xdr:to>
      <xdr:col>9</xdr:col>
      <xdr:colOff>501650</xdr:colOff>
      <xdr:row>33</xdr:row>
      <xdr:rowOff>173543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D08F6CA-B1C7-484C-99A9-2FE7B7FE7E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3476625" y="4762500"/>
          <a:ext cx="2540000" cy="1697543"/>
        </a:xfrm>
        <a:prstGeom prst="rect">
          <a:avLst/>
        </a:prstGeom>
      </xdr:spPr>
    </xdr:pic>
    <xdr:clientData/>
  </xdr:twoCellAnchor>
  <xdr:twoCellAnchor>
    <xdr:from>
      <xdr:col>6</xdr:col>
      <xdr:colOff>0</xdr:colOff>
      <xdr:row>14</xdr:row>
      <xdr:rowOff>0</xdr:rowOff>
    </xdr:from>
    <xdr:to>
      <xdr:col>9</xdr:col>
      <xdr:colOff>501650</xdr:colOff>
      <xdr:row>22</xdr:row>
      <xdr:rowOff>173543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21EB77BA-9E65-415E-94DF-28BEFB163D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476625" y="2667000"/>
          <a:ext cx="2540000" cy="1697543"/>
        </a:xfrm>
        <a:prstGeom prst="rect">
          <a:avLst/>
        </a:prstGeom>
      </xdr:spPr>
    </xdr:pic>
    <xdr:clientData/>
  </xdr:twoCellAnchor>
  <xdr:twoCellAnchor>
    <xdr:from>
      <xdr:col>6</xdr:col>
      <xdr:colOff>0</xdr:colOff>
      <xdr:row>3</xdr:row>
      <xdr:rowOff>0</xdr:rowOff>
    </xdr:from>
    <xdr:to>
      <xdr:col>9</xdr:col>
      <xdr:colOff>501650</xdr:colOff>
      <xdr:row>11</xdr:row>
      <xdr:rowOff>173543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5D552E6B-0640-497C-BDE6-3D36181743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3476625" y="571500"/>
          <a:ext cx="2540000" cy="1697543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36</xdr:row>
      <xdr:rowOff>0</xdr:rowOff>
    </xdr:from>
    <xdr:to>
      <xdr:col>4</xdr:col>
      <xdr:colOff>501650</xdr:colOff>
      <xdr:row>44</xdr:row>
      <xdr:rowOff>173543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8CEBAAFC-304D-4389-805F-D37BE4E5EE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19075" y="6858000"/>
          <a:ext cx="2540000" cy="1697543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25</xdr:row>
      <xdr:rowOff>0</xdr:rowOff>
    </xdr:from>
    <xdr:to>
      <xdr:col>4</xdr:col>
      <xdr:colOff>501650</xdr:colOff>
      <xdr:row>33</xdr:row>
      <xdr:rowOff>173543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B7556850-DB42-40E1-8C85-624194612A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19075" y="4762500"/>
          <a:ext cx="2540000" cy="1697543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14</xdr:row>
      <xdr:rowOff>0</xdr:rowOff>
    </xdr:from>
    <xdr:to>
      <xdr:col>4</xdr:col>
      <xdr:colOff>501650</xdr:colOff>
      <xdr:row>22</xdr:row>
      <xdr:rowOff>173543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D2F9C28-7A57-4B40-A934-CEF7675050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219075" y="2667000"/>
          <a:ext cx="2540000" cy="1697543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3</xdr:row>
      <xdr:rowOff>0</xdr:rowOff>
    </xdr:from>
    <xdr:to>
      <xdr:col>4</xdr:col>
      <xdr:colOff>501650</xdr:colOff>
      <xdr:row>11</xdr:row>
      <xdr:rowOff>173543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A091C5B4-CFA4-4E66-A0DE-07757C8147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219075" y="571500"/>
          <a:ext cx="2540000" cy="169754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37D5313-2FDF-4CDA-89F0-171BDB36E936}" name="Table4" displayName="Table4" ref="A1:L19" totalsRowShown="0">
  <autoFilter ref="A1:L19" xr:uid="{57AA9C90-CD2E-43F6-9130-CEB84FF71406}"/>
  <sortState xmlns:xlrd2="http://schemas.microsoft.com/office/spreadsheetml/2017/richdata2" ref="A2:L19">
    <sortCondition ref="A1:A19"/>
  </sortState>
  <tableColumns count="12">
    <tableColumn id="1" xr3:uid="{46F8D5B5-433D-4094-A642-357041319666}" name="Arq"/>
    <tableColumn id="2" xr3:uid="{4012113A-A7C0-4CF3-9642-86BF62667675}" name="Batch"/>
    <tableColumn id="3" xr3:uid="{7C2EC066-D176-49A0-A4D5-125498031F27}" name="Width"/>
    <tableColumn id="4" xr3:uid="{CC17DCA5-88F9-449F-B17C-C72ABFC7C554}" name="Height"/>
    <tableColumn id="5" xr3:uid="{7A0F44AA-CE3A-4042-84C9-31AC70890140}" name="LearnRate"/>
    <tableColumn id="6" xr3:uid="{8DEE0747-8A30-4918-969F-55139B37FDA1}" name="Optimizer2"/>
    <tableColumn id="7" xr3:uid="{23A342E1-E7A1-478A-9165-33EA013B94A9}" name="Optimizer">
      <calculatedColumnFormula>IF(RIGHT(LEFT(F2,47),4)="Adam","Adam","SGD")</calculatedColumnFormula>
    </tableColumn>
    <tableColumn id="8" xr3:uid="{ACE65023-1540-4F75-A760-AD021C534E6C}" name="Time" dataDxfId="9"/>
    <tableColumn id="9" xr3:uid="{4D51ABEE-3523-4427-AE4E-5AC36640D5D1}" name="Train_loss" dataDxfId="8"/>
    <tableColumn id="10" xr3:uid="{98AFFEF1-B752-44E9-AE5D-FA6DB537C028}" name="Val_loss" dataDxfId="7"/>
    <tableColumn id="11" xr3:uid="{8CA580A0-14DE-4B1F-86EF-EAF16571D9DD}" name="Test_loss" dataDxfId="6"/>
    <tableColumn id="12" xr3:uid="{3E87758D-114F-4479-B677-DBCAD391D979}" name="Test_RMSE" dataDxfId="5">
      <calculatedColumnFormula>SQRT(K2)</calculatedColumnFormula>
    </tableColumn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741BAD1-9B80-4146-BAF0-EF192821A4AE}" name="Table3" displayName="Table3" ref="A1:L9" totalsRowShown="0">
  <autoFilter ref="A1:L9" xr:uid="{925C2CC0-CE82-4DBB-BE73-2E996EEB788F}"/>
  <sortState xmlns:xlrd2="http://schemas.microsoft.com/office/spreadsheetml/2017/richdata2" ref="A2:L9">
    <sortCondition ref="L1:L9"/>
  </sortState>
  <tableColumns count="12">
    <tableColumn id="1" xr3:uid="{96CD40FB-A481-435C-B53C-955B85D83A14}" name="Arq"/>
    <tableColumn id="2" xr3:uid="{563BB20B-692A-4A49-A8B7-5128B48E8480}" name="Batch"/>
    <tableColumn id="3" xr3:uid="{EAF269C1-60D5-4D61-A4BC-3D5066AAC0E6}" name="Width"/>
    <tableColumn id="4" xr3:uid="{B1CC9E3B-7DAB-4297-B0D3-C39A996D2C57}" name="Height"/>
    <tableColumn id="5" xr3:uid="{1DEE09BC-9C26-43BF-93E0-6FD1ABB08D34}" name="LearnRate"/>
    <tableColumn id="6" xr3:uid="{4FC77642-6F86-4D20-9256-896AC71BB63E}" name="Optimizer2"/>
    <tableColumn id="7" xr3:uid="{1D80A9F6-2316-4F3A-8F92-A9E7E1727965}" name="Optimizer">
      <calculatedColumnFormula>IF(RIGHT(LEFT(F2,47),4)="Adam","Adam","SGD")</calculatedColumnFormula>
    </tableColumn>
    <tableColumn id="8" xr3:uid="{7F10686F-05A2-4EC3-BB8B-31CBA7391BF7}" name="Time" dataDxfId="4"/>
    <tableColumn id="9" xr3:uid="{01ACE0CB-5B28-443F-AE2F-3309DA1267F0}" name="Train_loss" dataDxfId="3"/>
    <tableColumn id="10" xr3:uid="{1DC68CF1-A45F-45A4-85EE-4DF0DC5A7252}" name="Val_loss" dataDxfId="2"/>
    <tableColumn id="11" xr3:uid="{D3F455ED-1E2D-450F-B660-5FCDCBFA54E1}" name="Test_loss" dataDxfId="1"/>
    <tableColumn id="12" xr3:uid="{65622DBA-D39C-438F-A2BF-8B75B6C2490C}" name="Test_RMSE" dataDxfId="0">
      <calculatedColumnFormula>SQRT(K2)</calculatedColumnFormula>
    </tableColumn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/>
  </sheetPr>
  <dimension ref="A1:N56"/>
  <sheetViews>
    <sheetView showGridLines="0" tabSelected="1" zoomScale="85" zoomScaleNormal="85" workbookViewId="0"/>
  </sheetViews>
  <sheetFormatPr defaultColWidth="0" defaultRowHeight="15" customHeight="1" zeroHeight="1" x14ac:dyDescent="0.25"/>
  <cols>
    <col min="1" max="1" width="12.7109375" bestFit="1" customWidth="1"/>
    <col min="2" max="3" width="9.140625" customWidth="1"/>
    <col min="4" max="4" width="9.28515625" customWidth="1"/>
    <col min="5" max="5" width="12.42578125" customWidth="1"/>
    <col min="6" max="6" width="9.140625" hidden="1" customWidth="1"/>
    <col min="7" max="7" width="13.140625" customWidth="1"/>
    <col min="8" max="8" width="7.7109375" customWidth="1"/>
    <col min="9" max="9" width="12.7109375" customWidth="1"/>
    <col min="10" max="10" width="11.140625" customWidth="1"/>
    <col min="11" max="11" width="12" customWidth="1"/>
    <col min="12" max="12" width="13" customWidth="1"/>
    <col min="13" max="13" width="3.5703125" customWidth="1"/>
    <col min="14" max="14" width="0" hidden="1" customWidth="1"/>
    <col min="15" max="16384" width="9.140625" hidden="1"/>
  </cols>
  <sheetData>
    <row r="1" spans="1:12" x14ac:dyDescent="0.25">
      <c r="A1" t="s">
        <v>9</v>
      </c>
      <c r="B1" t="s">
        <v>0</v>
      </c>
      <c r="C1" t="s">
        <v>8</v>
      </c>
      <c r="D1" t="s">
        <v>1</v>
      </c>
      <c r="E1" t="s">
        <v>2</v>
      </c>
      <c r="F1" t="s">
        <v>12</v>
      </c>
      <c r="G1" t="s">
        <v>3</v>
      </c>
      <c r="H1" t="s">
        <v>5</v>
      </c>
      <c r="I1" t="s">
        <v>6</v>
      </c>
      <c r="J1" t="s">
        <v>7</v>
      </c>
      <c r="K1" t="s">
        <v>4</v>
      </c>
      <c r="L1" t="s">
        <v>13</v>
      </c>
    </row>
    <row r="2" spans="1:12" x14ac:dyDescent="0.25">
      <c r="A2" s="4" t="s">
        <v>24</v>
      </c>
      <c r="B2" s="4">
        <v>4</v>
      </c>
      <c r="C2" s="4">
        <v>544</v>
      </c>
      <c r="D2" s="4">
        <v>408</v>
      </c>
      <c r="E2" s="4">
        <v>0.01</v>
      </c>
      <c r="F2" s="4" t="s">
        <v>30</v>
      </c>
      <c r="G2" s="4" t="str">
        <f t="shared" ref="G2:G19" si="0">IF(RIGHT(LEFT(F2,47),4)="Adam","Adam","SGD")</f>
        <v>Adam</v>
      </c>
      <c r="H2" s="5">
        <v>1087.9560739993999</v>
      </c>
      <c r="I2" s="6">
        <v>12.937369924132501</v>
      </c>
      <c r="J2" s="6">
        <v>12.505697113902899</v>
      </c>
      <c r="K2" s="6">
        <v>11.881299709018901</v>
      </c>
      <c r="L2" s="6">
        <f t="shared" ref="L2:L19" si="1">SQRT(K2)</f>
        <v>3.4469261246825265</v>
      </c>
    </row>
    <row r="3" spans="1:12" x14ac:dyDescent="0.25">
      <c r="A3" t="s">
        <v>24</v>
      </c>
      <c r="B3">
        <v>8</v>
      </c>
      <c r="C3">
        <v>544</v>
      </c>
      <c r="D3">
        <v>408</v>
      </c>
      <c r="E3">
        <v>0.01</v>
      </c>
      <c r="F3" t="s">
        <v>28</v>
      </c>
      <c r="G3" t="str">
        <f t="shared" si="0"/>
        <v>Adam</v>
      </c>
      <c r="H3" s="2">
        <v>1831.2662491798401</v>
      </c>
      <c r="I3" s="1">
        <v>12.693043274825801</v>
      </c>
      <c r="J3" s="1">
        <v>11.6907076270956</v>
      </c>
      <c r="K3" s="1">
        <v>12.2254841829601</v>
      </c>
      <c r="L3" s="1">
        <f t="shared" si="1"/>
        <v>3.4964959864069773</v>
      </c>
    </row>
    <row r="4" spans="1:12" x14ac:dyDescent="0.25">
      <c r="A4" t="s">
        <v>24</v>
      </c>
      <c r="B4">
        <v>16</v>
      </c>
      <c r="C4">
        <v>544</v>
      </c>
      <c r="D4">
        <v>408</v>
      </c>
      <c r="E4">
        <v>0.1</v>
      </c>
      <c r="F4" t="s">
        <v>27</v>
      </c>
      <c r="G4" t="str">
        <f t="shared" si="0"/>
        <v>Adam</v>
      </c>
      <c r="H4" s="2">
        <v>1796.53696632385</v>
      </c>
      <c r="I4" s="1">
        <v>13.9378887523304</v>
      </c>
      <c r="J4" s="1">
        <v>12.440363407135001</v>
      </c>
      <c r="K4" s="1">
        <v>12.6593343946668</v>
      </c>
      <c r="L4" s="1">
        <f t="shared" si="1"/>
        <v>3.5579958396078544</v>
      </c>
    </row>
    <row r="5" spans="1:12" x14ac:dyDescent="0.25">
      <c r="A5" t="s">
        <v>24</v>
      </c>
      <c r="B5">
        <v>4</v>
      </c>
      <c r="C5">
        <v>544</v>
      </c>
      <c r="D5">
        <v>408</v>
      </c>
      <c r="E5">
        <v>1E-3</v>
      </c>
      <c r="F5" t="s">
        <v>26</v>
      </c>
      <c r="G5" t="str">
        <f t="shared" si="0"/>
        <v>Adam</v>
      </c>
      <c r="H5" s="2">
        <v>698.73735451698303</v>
      </c>
      <c r="I5" s="1">
        <v>14.795218950226101</v>
      </c>
      <c r="J5" s="1">
        <v>13.9767604627107</v>
      </c>
      <c r="K5" s="1">
        <v>12.742025648292699</v>
      </c>
      <c r="L5" s="1">
        <f t="shared" si="1"/>
        <v>3.5695974070324374</v>
      </c>
    </row>
    <row r="6" spans="1:12" x14ac:dyDescent="0.25">
      <c r="A6" t="s">
        <v>24</v>
      </c>
      <c r="B6">
        <v>8</v>
      </c>
      <c r="C6">
        <v>544</v>
      </c>
      <c r="D6">
        <v>408</v>
      </c>
      <c r="E6">
        <v>1E-3</v>
      </c>
      <c r="F6" t="s">
        <v>25</v>
      </c>
      <c r="G6" t="str">
        <f t="shared" si="0"/>
        <v>Adam</v>
      </c>
      <c r="H6" s="2">
        <v>1991.12432146072</v>
      </c>
      <c r="I6" s="1">
        <v>13.134073963971201</v>
      </c>
      <c r="J6" s="1">
        <v>10.434441729595701</v>
      </c>
      <c r="K6" s="1">
        <v>12.961792920765101</v>
      </c>
      <c r="L6" s="1">
        <f t="shared" si="1"/>
        <v>3.600249008161116</v>
      </c>
    </row>
    <row r="7" spans="1:12" x14ac:dyDescent="0.25">
      <c r="A7" t="s">
        <v>24</v>
      </c>
      <c r="B7">
        <v>8</v>
      </c>
      <c r="C7">
        <v>362</v>
      </c>
      <c r="D7">
        <v>272</v>
      </c>
      <c r="E7">
        <v>0.01</v>
      </c>
      <c r="F7" t="s">
        <v>29</v>
      </c>
      <c r="G7" t="str">
        <f t="shared" si="0"/>
        <v>Adam</v>
      </c>
      <c r="H7" s="2">
        <v>840.70694780349697</v>
      </c>
      <c r="I7" s="1">
        <v>13.926235793681601</v>
      </c>
      <c r="J7" s="1">
        <v>13.860754276576699</v>
      </c>
      <c r="K7" s="1">
        <v>13.4402934626529</v>
      </c>
      <c r="L7" s="1">
        <f t="shared" si="1"/>
        <v>3.6661005799968036</v>
      </c>
    </row>
    <row r="8" spans="1:12" x14ac:dyDescent="0.25">
      <c r="A8" s="7" t="s">
        <v>31</v>
      </c>
      <c r="B8" s="7">
        <v>4</v>
      </c>
      <c r="C8" s="7">
        <v>544</v>
      </c>
      <c r="D8" s="7">
        <v>408</v>
      </c>
      <c r="E8" s="7">
        <v>0.1</v>
      </c>
      <c r="F8" s="7" t="s">
        <v>32</v>
      </c>
      <c r="G8" s="7" t="str">
        <f t="shared" si="0"/>
        <v>Adam</v>
      </c>
      <c r="H8" s="8">
        <v>1397.4823005199401</v>
      </c>
      <c r="I8" s="9">
        <v>14.472280529442701</v>
      </c>
      <c r="J8" s="9">
        <v>12.8964539938851</v>
      </c>
      <c r="K8" s="9">
        <v>10.684745236446901</v>
      </c>
      <c r="L8" s="9">
        <f t="shared" si="1"/>
        <v>3.2687528564342245</v>
      </c>
    </row>
    <row r="9" spans="1:12" x14ac:dyDescent="0.25">
      <c r="A9" s="4" t="s">
        <v>31</v>
      </c>
      <c r="B9" s="4">
        <v>8</v>
      </c>
      <c r="C9" s="4">
        <v>362</v>
      </c>
      <c r="D9" s="4">
        <v>272</v>
      </c>
      <c r="E9" s="4">
        <v>1E-3</v>
      </c>
      <c r="F9" s="4" t="s">
        <v>37</v>
      </c>
      <c r="G9" s="4" t="str">
        <f t="shared" si="0"/>
        <v>Adam</v>
      </c>
      <c r="H9" s="5">
        <v>844.03836441040005</v>
      </c>
      <c r="I9" s="6">
        <v>13.5244888828299</v>
      </c>
      <c r="J9" s="6">
        <v>13.3492294110749</v>
      </c>
      <c r="K9" s="6">
        <v>12.416899831671399</v>
      </c>
      <c r="L9" s="6">
        <f t="shared" si="1"/>
        <v>3.5237621701345567</v>
      </c>
    </row>
    <row r="10" spans="1:12" x14ac:dyDescent="0.25">
      <c r="A10" t="s">
        <v>31</v>
      </c>
      <c r="B10">
        <v>4</v>
      </c>
      <c r="C10">
        <v>544</v>
      </c>
      <c r="D10">
        <v>408</v>
      </c>
      <c r="E10">
        <v>1E-3</v>
      </c>
      <c r="F10" t="s">
        <v>34</v>
      </c>
      <c r="G10" t="str">
        <f t="shared" si="0"/>
        <v>Adam</v>
      </c>
      <c r="H10" s="2">
        <v>943.46532678604103</v>
      </c>
      <c r="I10" s="1">
        <v>14.3304282022791</v>
      </c>
      <c r="J10" s="1">
        <v>14.6563935279846</v>
      </c>
      <c r="K10" s="1">
        <v>13.147279740948401</v>
      </c>
      <c r="L10" s="1">
        <f t="shared" si="1"/>
        <v>3.6259177791213633</v>
      </c>
    </row>
    <row r="11" spans="1:12" x14ac:dyDescent="0.25">
      <c r="A11" t="s">
        <v>31</v>
      </c>
      <c r="B11">
        <v>16</v>
      </c>
      <c r="C11">
        <v>544</v>
      </c>
      <c r="D11">
        <v>408</v>
      </c>
      <c r="E11">
        <v>0.01</v>
      </c>
      <c r="F11" t="s">
        <v>33</v>
      </c>
      <c r="G11" t="str">
        <f t="shared" si="0"/>
        <v>Adam</v>
      </c>
      <c r="H11" s="2">
        <v>827.34465098380997</v>
      </c>
      <c r="I11" s="1">
        <v>16.9104549103652</v>
      </c>
      <c r="J11" s="1">
        <v>16.2378561231825</v>
      </c>
      <c r="K11" s="1">
        <v>14.144820425245401</v>
      </c>
      <c r="L11" s="1">
        <f t="shared" si="1"/>
        <v>3.760960040368071</v>
      </c>
    </row>
    <row r="12" spans="1:12" x14ac:dyDescent="0.25">
      <c r="A12" t="s">
        <v>31</v>
      </c>
      <c r="B12">
        <v>16</v>
      </c>
      <c r="C12">
        <v>544</v>
      </c>
      <c r="D12">
        <v>408</v>
      </c>
      <c r="E12">
        <v>0.1</v>
      </c>
      <c r="F12" t="s">
        <v>35</v>
      </c>
      <c r="G12" t="str">
        <f t="shared" si="0"/>
        <v>Adam</v>
      </c>
      <c r="H12" s="2">
        <v>1075.57938623428</v>
      </c>
      <c r="I12" s="1">
        <v>16.4311714172363</v>
      </c>
      <c r="J12" s="1">
        <v>14.320431815253301</v>
      </c>
      <c r="K12" s="1">
        <v>15.7832057740953</v>
      </c>
      <c r="L12" s="1">
        <f t="shared" si="1"/>
        <v>3.9728082981809356</v>
      </c>
    </row>
    <row r="13" spans="1:12" x14ac:dyDescent="0.25">
      <c r="A13" t="s">
        <v>31</v>
      </c>
      <c r="B13">
        <v>4</v>
      </c>
      <c r="C13">
        <v>544</v>
      </c>
      <c r="D13">
        <v>408</v>
      </c>
      <c r="E13">
        <v>0.01</v>
      </c>
      <c r="F13" t="s">
        <v>36</v>
      </c>
      <c r="G13" t="str">
        <f t="shared" si="0"/>
        <v>Adam</v>
      </c>
      <c r="H13" s="2">
        <v>779.47506690025295</v>
      </c>
      <c r="I13" s="1">
        <v>16.318155588555999</v>
      </c>
      <c r="J13" s="1">
        <v>15.369692367942701</v>
      </c>
      <c r="K13" s="1">
        <v>16.229434571768099</v>
      </c>
      <c r="L13" s="1">
        <f t="shared" si="1"/>
        <v>4.028577239146359</v>
      </c>
    </row>
    <row r="14" spans="1:12" x14ac:dyDescent="0.25">
      <c r="A14" s="7" t="s">
        <v>38</v>
      </c>
      <c r="B14" s="7">
        <v>8</v>
      </c>
      <c r="C14" s="7">
        <v>544</v>
      </c>
      <c r="D14" s="7">
        <v>408</v>
      </c>
      <c r="E14" s="7">
        <v>1E-3</v>
      </c>
      <c r="F14" s="7" t="s">
        <v>39</v>
      </c>
      <c r="G14" s="7" t="str">
        <f t="shared" si="0"/>
        <v>Adam</v>
      </c>
      <c r="H14" s="8">
        <v>1642.52781391143</v>
      </c>
      <c r="I14" s="9">
        <v>13.7129086736222</v>
      </c>
      <c r="J14" s="9">
        <v>13.266439638639699</v>
      </c>
      <c r="K14" s="9">
        <v>11.509936131929001</v>
      </c>
      <c r="L14" s="9">
        <f t="shared" si="1"/>
        <v>3.3926296779827001</v>
      </c>
    </row>
    <row r="15" spans="1:12" x14ac:dyDescent="0.25">
      <c r="A15" s="4" t="s">
        <v>38</v>
      </c>
      <c r="B15" s="4">
        <v>4</v>
      </c>
      <c r="C15" s="4">
        <v>544</v>
      </c>
      <c r="D15" s="4">
        <v>408</v>
      </c>
      <c r="E15" s="4">
        <v>0.01</v>
      </c>
      <c r="F15" s="4" t="s">
        <v>40</v>
      </c>
      <c r="G15" s="4" t="str">
        <f t="shared" si="0"/>
        <v>Adam</v>
      </c>
      <c r="H15" s="5">
        <v>2187.1827197074799</v>
      </c>
      <c r="I15" s="6">
        <v>11.5362696818421</v>
      </c>
      <c r="J15" s="6">
        <v>10.318205977741</v>
      </c>
      <c r="K15" s="6">
        <v>11.5727273727718</v>
      </c>
      <c r="L15" s="6">
        <f t="shared" si="1"/>
        <v>3.4018711575795755</v>
      </c>
    </row>
    <row r="16" spans="1:12" x14ac:dyDescent="0.25">
      <c r="A16" t="s">
        <v>38</v>
      </c>
      <c r="B16">
        <v>4</v>
      </c>
      <c r="C16">
        <v>544</v>
      </c>
      <c r="D16">
        <v>408</v>
      </c>
      <c r="E16">
        <v>0.1</v>
      </c>
      <c r="F16" t="s">
        <v>41</v>
      </c>
      <c r="G16" t="str">
        <f t="shared" si="0"/>
        <v>Adam</v>
      </c>
      <c r="H16" s="2">
        <v>976.66972374915997</v>
      </c>
      <c r="I16" s="1">
        <v>13.9038944595</v>
      </c>
      <c r="J16" s="1">
        <v>13.5066326291937</v>
      </c>
      <c r="K16" s="1">
        <v>13.3716414225728</v>
      </c>
      <c r="L16" s="1">
        <f t="shared" si="1"/>
        <v>3.6567255054998045</v>
      </c>
    </row>
    <row r="17" spans="1:12" x14ac:dyDescent="0.25">
      <c r="A17" t="s">
        <v>38</v>
      </c>
      <c r="B17">
        <v>8</v>
      </c>
      <c r="C17">
        <v>544</v>
      </c>
      <c r="D17">
        <v>408</v>
      </c>
      <c r="E17">
        <v>0.01</v>
      </c>
      <c r="F17" t="s">
        <v>42</v>
      </c>
      <c r="G17" t="str">
        <f t="shared" si="0"/>
        <v>Adam</v>
      </c>
      <c r="H17" s="2">
        <v>1208.51098179817</v>
      </c>
      <c r="I17" s="1">
        <v>13.947494206803499</v>
      </c>
      <c r="J17" s="1">
        <v>13.3559896444019</v>
      </c>
      <c r="K17" s="1">
        <v>13.502470794476899</v>
      </c>
      <c r="L17" s="1">
        <f t="shared" si="1"/>
        <v>3.6745708313321299</v>
      </c>
    </row>
    <row r="18" spans="1:12" x14ac:dyDescent="0.25">
      <c r="A18" t="s">
        <v>38</v>
      </c>
      <c r="B18">
        <v>8</v>
      </c>
      <c r="C18">
        <v>544</v>
      </c>
      <c r="D18">
        <v>408</v>
      </c>
      <c r="E18">
        <v>0.1</v>
      </c>
      <c r="F18" t="s">
        <v>43</v>
      </c>
      <c r="G18" t="str">
        <f t="shared" si="0"/>
        <v>Adam</v>
      </c>
      <c r="H18" s="2">
        <v>1083.36412072181</v>
      </c>
      <c r="I18" s="1">
        <v>14.909318948127799</v>
      </c>
      <c r="J18" s="1">
        <v>14.858034510361501</v>
      </c>
      <c r="K18" s="1">
        <v>13.5831014482598</v>
      </c>
      <c r="L18" s="1">
        <f t="shared" si="1"/>
        <v>3.6855259391652369</v>
      </c>
    </row>
    <row r="19" spans="1:12" x14ac:dyDescent="0.25">
      <c r="A19" t="s">
        <v>38</v>
      </c>
      <c r="B19">
        <v>4</v>
      </c>
      <c r="C19">
        <v>544</v>
      </c>
      <c r="D19">
        <v>408</v>
      </c>
      <c r="E19">
        <v>1E-3</v>
      </c>
      <c r="F19" t="s">
        <v>44</v>
      </c>
      <c r="G19" t="str">
        <f t="shared" si="0"/>
        <v>SGD</v>
      </c>
      <c r="H19" s="2">
        <v>944.18372631072998</v>
      </c>
      <c r="I19" s="1">
        <v>14.0286516298432</v>
      </c>
      <c r="J19" s="1">
        <v>14.120059245511101</v>
      </c>
      <c r="K19" s="1">
        <v>16.5242390883596</v>
      </c>
      <c r="L19" s="1">
        <f t="shared" si="1"/>
        <v>4.0650017328851904</v>
      </c>
    </row>
    <row r="20" spans="1:12" x14ac:dyDescent="0.25"/>
    <row r="21" spans="1:12" ht="15" hidden="1" customHeight="1" x14ac:dyDescent="0.25"/>
    <row r="22" spans="1:12" ht="15" hidden="1" customHeight="1" x14ac:dyDescent="0.25"/>
    <row r="23" spans="1:12" ht="15" hidden="1" customHeight="1" x14ac:dyDescent="0.25"/>
    <row r="24" spans="1:12" ht="15" hidden="1" customHeight="1" x14ac:dyDescent="0.25"/>
    <row r="25" spans="1:12" ht="15" hidden="1" customHeight="1" x14ac:dyDescent="0.25"/>
    <row r="26" spans="1:12" ht="15" hidden="1" customHeight="1" x14ac:dyDescent="0.25"/>
    <row r="27" spans="1:12" ht="15" hidden="1" customHeight="1" x14ac:dyDescent="0.25"/>
    <row r="28" spans="1:12" ht="15" hidden="1" customHeight="1" x14ac:dyDescent="0.25"/>
    <row r="29" spans="1:12" ht="15" hidden="1" customHeight="1" x14ac:dyDescent="0.25"/>
    <row r="30" spans="1:12" ht="15" hidden="1" customHeight="1" x14ac:dyDescent="0.25"/>
    <row r="31" spans="1:12" ht="15" hidden="1" customHeight="1" x14ac:dyDescent="0.25"/>
    <row r="32" spans="1:12" ht="15" hidden="1" customHeight="1" x14ac:dyDescent="0.25"/>
    <row r="33" ht="15" hidden="1" customHeight="1" x14ac:dyDescent="0.25"/>
    <row r="34" ht="15" hidden="1" customHeight="1" x14ac:dyDescent="0.25"/>
    <row r="35" ht="15" hidden="1" customHeight="1" x14ac:dyDescent="0.25"/>
    <row r="36" ht="15" hidden="1" customHeight="1" x14ac:dyDescent="0.25"/>
    <row r="37" ht="15" hidden="1" customHeight="1" x14ac:dyDescent="0.25"/>
    <row r="38" ht="15" hidden="1" customHeight="1" x14ac:dyDescent="0.25"/>
    <row r="39" ht="15" hidden="1" customHeight="1" x14ac:dyDescent="0.25"/>
    <row r="40" ht="15" hidden="1" customHeight="1" x14ac:dyDescent="0.25"/>
    <row r="41" ht="15" hidden="1" customHeight="1" x14ac:dyDescent="0.25"/>
    <row r="42" ht="15" hidden="1" customHeight="1" x14ac:dyDescent="0.25"/>
    <row r="43" ht="15" hidden="1" customHeight="1" x14ac:dyDescent="0.25"/>
    <row r="44" ht="15" hidden="1" customHeight="1" x14ac:dyDescent="0.25"/>
    <row r="45" ht="15" hidden="1" customHeight="1" x14ac:dyDescent="0.25"/>
    <row r="46" ht="15" hidden="1" customHeight="1" x14ac:dyDescent="0.25"/>
    <row r="47" ht="15" hidden="1" customHeight="1" x14ac:dyDescent="0.25"/>
    <row r="48" ht="15" hidden="1" customHeight="1" x14ac:dyDescent="0.25"/>
    <row r="49" ht="15" hidden="1" customHeight="1" x14ac:dyDescent="0.25"/>
    <row r="50" ht="15" hidden="1" customHeight="1" x14ac:dyDescent="0.25"/>
    <row r="51" ht="15" hidden="1" customHeight="1" x14ac:dyDescent="0.25"/>
    <row r="52" ht="15" hidden="1" customHeight="1" x14ac:dyDescent="0.25"/>
    <row r="53" ht="15" hidden="1" customHeight="1" x14ac:dyDescent="0.25"/>
    <row r="54" ht="15" hidden="1" customHeight="1" x14ac:dyDescent="0.25"/>
    <row r="55" ht="15" hidden="1" customHeight="1" x14ac:dyDescent="0.25"/>
    <row r="56" ht="15" hidden="1" customHeight="1" x14ac:dyDescent="0.25"/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theme="4" tint="0.39997558519241921"/>
  </sheetPr>
  <dimension ref="A1:P52"/>
  <sheetViews>
    <sheetView showGridLines="0" zoomScale="70" zoomScaleNormal="70" workbookViewId="0"/>
  </sheetViews>
  <sheetFormatPr defaultColWidth="0" defaultRowHeight="15" zeroHeight="1" x14ac:dyDescent="0.25"/>
  <cols>
    <col min="1" max="1" width="3.28515625" customWidth="1"/>
    <col min="2" max="2" width="11.5703125" customWidth="1"/>
    <col min="3" max="3" width="9.140625" customWidth="1"/>
    <col min="4" max="4" width="9.85546875" bestFit="1" customWidth="1"/>
    <col min="5" max="6" width="9.140625" customWidth="1"/>
    <col min="7" max="7" width="11.42578125" bestFit="1" customWidth="1"/>
    <col min="8" max="8" width="9.140625" customWidth="1"/>
    <col min="9" max="9" width="10.140625" bestFit="1" customWidth="1"/>
    <col min="10" max="11" width="9.140625" customWidth="1"/>
    <col min="12" max="16" width="0" hidden="1" customWidth="1"/>
    <col min="17" max="16384" width="9.140625" hidden="1"/>
  </cols>
  <sheetData>
    <row r="1" spans="2:10" x14ac:dyDescent="0.25"/>
    <row r="2" spans="2:10" x14ac:dyDescent="0.25">
      <c r="B2" s="4" t="s">
        <v>8</v>
      </c>
      <c r="C2" s="4">
        <v>544</v>
      </c>
      <c r="D2" s="4" t="s">
        <v>0</v>
      </c>
      <c r="E2" s="4">
        <v>4</v>
      </c>
      <c r="G2" t="s">
        <v>8</v>
      </c>
      <c r="H2">
        <v>544</v>
      </c>
      <c r="I2" t="s">
        <v>0</v>
      </c>
      <c r="J2">
        <v>8</v>
      </c>
    </row>
    <row r="3" spans="2:10" x14ac:dyDescent="0.25">
      <c r="B3" s="4" t="s">
        <v>2</v>
      </c>
      <c r="C3" s="4">
        <v>0.01</v>
      </c>
      <c r="D3" s="4" t="s">
        <v>3</v>
      </c>
      <c r="E3" s="4" t="s">
        <v>10</v>
      </c>
      <c r="G3" t="s">
        <v>2</v>
      </c>
      <c r="H3">
        <v>0.01</v>
      </c>
      <c r="I3" t="s">
        <v>3</v>
      </c>
      <c r="J3" t="s">
        <v>10</v>
      </c>
    </row>
    <row r="4" spans="2:10" x14ac:dyDescent="0.25"/>
    <row r="5" spans="2:10" x14ac:dyDescent="0.25"/>
    <row r="6" spans="2:10" x14ac:dyDescent="0.25"/>
    <row r="7" spans="2:10" x14ac:dyDescent="0.25"/>
    <row r="8" spans="2:10" x14ac:dyDescent="0.25"/>
    <row r="9" spans="2:10" x14ac:dyDescent="0.25"/>
    <row r="10" spans="2:10" x14ac:dyDescent="0.25"/>
    <row r="11" spans="2:10" x14ac:dyDescent="0.25"/>
    <row r="12" spans="2:10" x14ac:dyDescent="0.25"/>
    <row r="13" spans="2:10" x14ac:dyDescent="0.25">
      <c r="B13" t="s">
        <v>8</v>
      </c>
      <c r="C13">
        <v>544</v>
      </c>
      <c r="D13" t="s">
        <v>0</v>
      </c>
      <c r="E13">
        <v>16</v>
      </c>
      <c r="G13" t="s">
        <v>8</v>
      </c>
      <c r="H13">
        <v>544</v>
      </c>
      <c r="I13" t="s">
        <v>0</v>
      </c>
      <c r="J13">
        <v>4</v>
      </c>
    </row>
    <row r="14" spans="2:10" x14ac:dyDescent="0.25">
      <c r="B14" t="s">
        <v>2</v>
      </c>
      <c r="C14">
        <v>0.1</v>
      </c>
      <c r="D14" t="s">
        <v>3</v>
      </c>
      <c r="E14" t="s">
        <v>10</v>
      </c>
      <c r="G14" t="s">
        <v>2</v>
      </c>
      <c r="H14">
        <v>1E-3</v>
      </c>
      <c r="I14" t="s">
        <v>3</v>
      </c>
      <c r="J14" t="s">
        <v>10</v>
      </c>
    </row>
    <row r="15" spans="2:10" x14ac:dyDescent="0.25"/>
    <row r="16" spans="2:10" x14ac:dyDescent="0.25"/>
    <row r="17" spans="2:10" x14ac:dyDescent="0.25"/>
    <row r="18" spans="2:10" x14ac:dyDescent="0.25"/>
    <row r="19" spans="2:10" x14ac:dyDescent="0.25"/>
    <row r="20" spans="2:10" x14ac:dyDescent="0.25"/>
    <row r="21" spans="2:10" x14ac:dyDescent="0.25"/>
    <row r="22" spans="2:10" x14ac:dyDescent="0.25"/>
    <row r="23" spans="2:10" x14ac:dyDescent="0.25"/>
    <row r="24" spans="2:10" x14ac:dyDescent="0.25">
      <c r="B24" t="s">
        <v>8</v>
      </c>
      <c r="C24">
        <v>544</v>
      </c>
      <c r="D24" t="s">
        <v>0</v>
      </c>
      <c r="E24">
        <v>8</v>
      </c>
      <c r="G24" t="s">
        <v>8</v>
      </c>
      <c r="H24">
        <v>362</v>
      </c>
      <c r="I24" t="s">
        <v>0</v>
      </c>
      <c r="J24">
        <v>8</v>
      </c>
    </row>
    <row r="25" spans="2:10" x14ac:dyDescent="0.25">
      <c r="B25" t="s">
        <v>2</v>
      </c>
      <c r="C25">
        <v>1E-3</v>
      </c>
      <c r="D25" t="s">
        <v>3</v>
      </c>
      <c r="E25" t="s">
        <v>10</v>
      </c>
      <c r="G25" t="s">
        <v>2</v>
      </c>
      <c r="H25">
        <v>0.01</v>
      </c>
      <c r="I25" t="s">
        <v>3</v>
      </c>
      <c r="J25" t="s">
        <v>10</v>
      </c>
    </row>
    <row r="26" spans="2:10" x14ac:dyDescent="0.25"/>
    <row r="27" spans="2:10" x14ac:dyDescent="0.25"/>
    <row r="28" spans="2:10" x14ac:dyDescent="0.25"/>
    <row r="29" spans="2:10" x14ac:dyDescent="0.25"/>
    <row r="30" spans="2:10" x14ac:dyDescent="0.25"/>
    <row r="31" spans="2:10" x14ac:dyDescent="0.25"/>
    <row r="32" spans="2:10" x14ac:dyDescent="0.25"/>
    <row r="33" x14ac:dyDescent="0.25"/>
    <row r="34" x14ac:dyDescent="0.25"/>
    <row r="35" hidden="1" x14ac:dyDescent="0.25"/>
    <row r="36" hidden="1" x14ac:dyDescent="0.25"/>
    <row r="37" hidden="1" x14ac:dyDescent="0.25"/>
    <row r="38" hidden="1" x14ac:dyDescent="0.25"/>
    <row r="39" hidden="1" x14ac:dyDescent="0.25"/>
    <row r="40" hidden="1" x14ac:dyDescent="0.25"/>
    <row r="41" hidden="1" x14ac:dyDescent="0.25"/>
    <row r="42" hidden="1" x14ac:dyDescent="0.25"/>
    <row r="43" hidden="1" x14ac:dyDescent="0.25"/>
    <row r="44" hidden="1" x14ac:dyDescent="0.25"/>
    <row r="45" hidden="1" x14ac:dyDescent="0.25"/>
    <row r="46" hidden="1" x14ac:dyDescent="0.25"/>
    <row r="47" hidden="1" x14ac:dyDescent="0.25"/>
    <row r="48" hidden="1" x14ac:dyDescent="0.25"/>
    <row r="49" hidden="1" x14ac:dyDescent="0.25"/>
    <row r="50" hidden="1" x14ac:dyDescent="0.25"/>
    <row r="51" hidden="1" x14ac:dyDescent="0.25"/>
    <row r="52" hidden="1" x14ac:dyDescent="0.25"/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theme="4" tint="0.39997558519241921"/>
  </sheetPr>
  <dimension ref="A1:P64"/>
  <sheetViews>
    <sheetView showGridLines="0" zoomScale="70" zoomScaleNormal="70" workbookViewId="0"/>
  </sheetViews>
  <sheetFormatPr defaultColWidth="0" defaultRowHeight="15" customHeight="1" zeroHeight="1" x14ac:dyDescent="0.25"/>
  <cols>
    <col min="1" max="1" width="3.28515625" customWidth="1"/>
    <col min="2" max="2" width="11.5703125" customWidth="1"/>
    <col min="3" max="3" width="8.28515625" customWidth="1"/>
    <col min="4" max="4" width="9.85546875" bestFit="1" customWidth="1"/>
    <col min="5" max="6" width="9.140625" customWidth="1"/>
    <col min="7" max="7" width="11.42578125" bestFit="1" customWidth="1"/>
    <col min="8" max="8" width="9.140625" customWidth="1"/>
    <col min="9" max="9" width="10.140625" bestFit="1" customWidth="1"/>
    <col min="10" max="11" width="9.140625" customWidth="1"/>
    <col min="12" max="16" width="0" hidden="1" customWidth="1"/>
    <col min="17" max="16384" width="9.140625" hidden="1"/>
  </cols>
  <sheetData>
    <row r="1" spans="2:10" x14ac:dyDescent="0.25"/>
    <row r="2" spans="2:10" x14ac:dyDescent="0.25">
      <c r="B2" s="3" t="s">
        <v>8</v>
      </c>
      <c r="C2" s="3">
        <v>544</v>
      </c>
      <c r="D2" s="3" t="s">
        <v>0</v>
      </c>
      <c r="E2" s="3">
        <v>4</v>
      </c>
      <c r="G2" s="4" t="s">
        <v>8</v>
      </c>
      <c r="H2" s="4">
        <v>362</v>
      </c>
      <c r="I2" s="4" t="s">
        <v>0</v>
      </c>
      <c r="J2" s="4">
        <v>8</v>
      </c>
    </row>
    <row r="3" spans="2:10" x14ac:dyDescent="0.25">
      <c r="B3" s="3" t="s">
        <v>2</v>
      </c>
      <c r="C3" s="3">
        <v>0.1</v>
      </c>
      <c r="D3" s="3" t="s">
        <v>3</v>
      </c>
      <c r="E3" s="3" t="s">
        <v>10</v>
      </c>
      <c r="G3" s="4" t="s">
        <v>2</v>
      </c>
      <c r="H3" s="4">
        <v>1E-3</v>
      </c>
      <c r="I3" s="4" t="s">
        <v>3</v>
      </c>
      <c r="J3" s="4" t="s">
        <v>10</v>
      </c>
    </row>
    <row r="4" spans="2:10" x14ac:dyDescent="0.25"/>
    <row r="5" spans="2:10" x14ac:dyDescent="0.25"/>
    <row r="6" spans="2:10" x14ac:dyDescent="0.25"/>
    <row r="7" spans="2:10" x14ac:dyDescent="0.25"/>
    <row r="8" spans="2:10" x14ac:dyDescent="0.25"/>
    <row r="9" spans="2:10" x14ac:dyDescent="0.25"/>
    <row r="10" spans="2:10" x14ac:dyDescent="0.25"/>
    <row r="11" spans="2:10" x14ac:dyDescent="0.25"/>
    <row r="12" spans="2:10" x14ac:dyDescent="0.25"/>
    <row r="13" spans="2:10" x14ac:dyDescent="0.25">
      <c r="B13" t="s">
        <v>8</v>
      </c>
      <c r="C13">
        <v>544</v>
      </c>
      <c r="D13" t="s">
        <v>0</v>
      </c>
      <c r="E13">
        <v>4</v>
      </c>
      <c r="G13" t="s">
        <v>8</v>
      </c>
      <c r="H13">
        <v>544</v>
      </c>
      <c r="I13" t="s">
        <v>0</v>
      </c>
      <c r="J13">
        <v>16</v>
      </c>
    </row>
    <row r="14" spans="2:10" x14ac:dyDescent="0.25">
      <c r="B14" t="s">
        <v>2</v>
      </c>
      <c r="C14">
        <v>1E-3</v>
      </c>
      <c r="D14" t="s">
        <v>3</v>
      </c>
      <c r="E14" t="s">
        <v>10</v>
      </c>
      <c r="G14" t="s">
        <v>2</v>
      </c>
      <c r="H14">
        <v>0.01</v>
      </c>
      <c r="I14" t="s">
        <v>3</v>
      </c>
      <c r="J14" t="s">
        <v>10</v>
      </c>
    </row>
    <row r="15" spans="2:10" x14ac:dyDescent="0.25"/>
    <row r="16" spans="2:10" x14ac:dyDescent="0.25"/>
    <row r="17" spans="2:10" x14ac:dyDescent="0.25"/>
    <row r="18" spans="2:10" x14ac:dyDescent="0.25"/>
    <row r="19" spans="2:10" x14ac:dyDescent="0.25"/>
    <row r="20" spans="2:10" x14ac:dyDescent="0.25"/>
    <row r="21" spans="2:10" x14ac:dyDescent="0.25"/>
    <row r="22" spans="2:10" x14ac:dyDescent="0.25"/>
    <row r="23" spans="2:10" x14ac:dyDescent="0.25"/>
    <row r="24" spans="2:10" x14ac:dyDescent="0.25">
      <c r="B24" t="s">
        <v>8</v>
      </c>
      <c r="C24">
        <v>544</v>
      </c>
      <c r="D24" t="s">
        <v>0</v>
      </c>
      <c r="E24">
        <v>16</v>
      </c>
      <c r="G24" t="s">
        <v>8</v>
      </c>
      <c r="H24">
        <v>544</v>
      </c>
      <c r="I24" t="s">
        <v>0</v>
      </c>
      <c r="J24">
        <v>4</v>
      </c>
    </row>
    <row r="25" spans="2:10" x14ac:dyDescent="0.25">
      <c r="B25" t="s">
        <v>2</v>
      </c>
      <c r="C25">
        <v>0.1</v>
      </c>
      <c r="D25" t="s">
        <v>3</v>
      </c>
      <c r="E25" t="s">
        <v>10</v>
      </c>
      <c r="G25" t="s">
        <v>2</v>
      </c>
      <c r="H25">
        <v>0.01</v>
      </c>
      <c r="I25" t="s">
        <v>3</v>
      </c>
      <c r="J25" t="s">
        <v>10</v>
      </c>
    </row>
    <row r="26" spans="2:10" x14ac:dyDescent="0.25"/>
    <row r="27" spans="2:10" x14ac:dyDescent="0.25"/>
    <row r="28" spans="2:10" x14ac:dyDescent="0.25"/>
    <row r="29" spans="2:10" x14ac:dyDescent="0.25"/>
    <row r="30" spans="2:10" x14ac:dyDescent="0.25"/>
    <row r="31" spans="2:10" x14ac:dyDescent="0.25"/>
    <row r="32" spans="2:10" x14ac:dyDescent="0.25"/>
    <row r="33" x14ac:dyDescent="0.25"/>
    <row r="34" x14ac:dyDescent="0.25"/>
    <row r="35" ht="15" hidden="1" customHeight="1" x14ac:dyDescent="0.25"/>
    <row r="36" ht="15" hidden="1" customHeight="1" x14ac:dyDescent="0.25"/>
    <row r="37" ht="15" hidden="1" customHeight="1" x14ac:dyDescent="0.25"/>
    <row r="38" ht="15" hidden="1" customHeight="1" x14ac:dyDescent="0.25"/>
    <row r="39" ht="15" hidden="1" customHeight="1" x14ac:dyDescent="0.25"/>
    <row r="40" ht="15" hidden="1" customHeight="1" x14ac:dyDescent="0.25"/>
    <row r="41" ht="15" hidden="1" customHeight="1" x14ac:dyDescent="0.25"/>
    <row r="42" ht="15" hidden="1" customHeight="1" x14ac:dyDescent="0.25"/>
    <row r="43" ht="15" hidden="1" customHeight="1" x14ac:dyDescent="0.25"/>
    <row r="44" ht="15" hidden="1" customHeight="1" x14ac:dyDescent="0.25"/>
    <row r="45" ht="15" hidden="1" customHeight="1" x14ac:dyDescent="0.25"/>
    <row r="46" ht="15" hidden="1" customHeight="1" x14ac:dyDescent="0.25"/>
    <row r="47" ht="15" hidden="1" customHeight="1" x14ac:dyDescent="0.25"/>
    <row r="48" ht="15" hidden="1" customHeight="1" x14ac:dyDescent="0.25"/>
    <row r="49" ht="15" hidden="1" customHeight="1" x14ac:dyDescent="0.25"/>
    <row r="50" ht="15" hidden="1" customHeight="1" x14ac:dyDescent="0.25"/>
    <row r="51" ht="15" hidden="1" customHeight="1" x14ac:dyDescent="0.25"/>
    <row r="52" ht="15" hidden="1" customHeight="1" x14ac:dyDescent="0.25"/>
    <row r="53" ht="15" hidden="1" customHeight="1" x14ac:dyDescent="0.25"/>
    <row r="54" ht="15" hidden="1" customHeight="1" x14ac:dyDescent="0.25"/>
    <row r="55" ht="15" hidden="1" customHeight="1" x14ac:dyDescent="0.25"/>
    <row r="56" ht="15" hidden="1" customHeight="1" x14ac:dyDescent="0.25"/>
    <row r="57" ht="15" hidden="1" customHeight="1" x14ac:dyDescent="0.25"/>
    <row r="58" ht="15" hidden="1" customHeight="1" x14ac:dyDescent="0.25"/>
    <row r="59" ht="15" hidden="1" customHeight="1" x14ac:dyDescent="0.25"/>
    <row r="60" ht="15" hidden="1" customHeight="1" x14ac:dyDescent="0.25"/>
    <row r="61" ht="15" hidden="1" customHeight="1" x14ac:dyDescent="0.25"/>
    <row r="62" ht="15" hidden="1" customHeight="1" x14ac:dyDescent="0.25"/>
    <row r="63" ht="15" hidden="1" customHeight="1" x14ac:dyDescent="0.25"/>
    <row r="64" ht="15" hidden="1" customHeight="1" x14ac:dyDescent="0.25"/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theme="4" tint="0.39997558519241921"/>
  </sheetPr>
  <dimension ref="A1:P64"/>
  <sheetViews>
    <sheetView showGridLines="0" zoomScale="70" zoomScaleNormal="70" workbookViewId="0"/>
  </sheetViews>
  <sheetFormatPr defaultColWidth="0" defaultRowHeight="15" customHeight="1" zeroHeight="1" x14ac:dyDescent="0.25"/>
  <cols>
    <col min="1" max="1" width="3.28515625" customWidth="1"/>
    <col min="2" max="2" width="11.5703125" customWidth="1"/>
    <col min="3" max="3" width="8.28515625" customWidth="1"/>
    <col min="4" max="4" width="9.85546875" bestFit="1" customWidth="1"/>
    <col min="5" max="6" width="9.140625" customWidth="1"/>
    <col min="7" max="7" width="11.42578125" bestFit="1" customWidth="1"/>
    <col min="8" max="8" width="9.140625" customWidth="1"/>
    <col min="9" max="9" width="10.140625" bestFit="1" customWidth="1"/>
    <col min="10" max="11" width="9.140625" customWidth="1"/>
    <col min="12" max="16" width="0" hidden="1" customWidth="1"/>
    <col min="17" max="16384" width="9.140625" hidden="1"/>
  </cols>
  <sheetData>
    <row r="1" spans="2:10" x14ac:dyDescent="0.25"/>
    <row r="2" spans="2:10" x14ac:dyDescent="0.25">
      <c r="B2" s="3" t="s">
        <v>8</v>
      </c>
      <c r="C2" s="3">
        <v>544</v>
      </c>
      <c r="D2" s="3" t="s">
        <v>0</v>
      </c>
      <c r="E2" s="3">
        <v>8</v>
      </c>
      <c r="G2" s="4" t="s">
        <v>8</v>
      </c>
      <c r="H2" s="4">
        <v>544</v>
      </c>
      <c r="I2" s="4" t="s">
        <v>0</v>
      </c>
      <c r="J2" s="4">
        <v>4</v>
      </c>
    </row>
    <row r="3" spans="2:10" x14ac:dyDescent="0.25">
      <c r="B3" s="3" t="s">
        <v>2</v>
      </c>
      <c r="C3" s="3">
        <v>1E-3</v>
      </c>
      <c r="D3" s="3" t="s">
        <v>3</v>
      </c>
      <c r="E3" s="3" t="s">
        <v>10</v>
      </c>
      <c r="G3" s="4" t="s">
        <v>2</v>
      </c>
      <c r="H3" s="4">
        <v>0.01</v>
      </c>
      <c r="I3" s="4" t="s">
        <v>3</v>
      </c>
      <c r="J3" s="4" t="s">
        <v>10</v>
      </c>
    </row>
    <row r="4" spans="2:10" x14ac:dyDescent="0.25"/>
    <row r="5" spans="2:10" x14ac:dyDescent="0.25"/>
    <row r="6" spans="2:10" x14ac:dyDescent="0.25"/>
    <row r="7" spans="2:10" x14ac:dyDescent="0.25"/>
    <row r="8" spans="2:10" x14ac:dyDescent="0.25"/>
    <row r="9" spans="2:10" x14ac:dyDescent="0.25"/>
    <row r="10" spans="2:10" x14ac:dyDescent="0.25"/>
    <row r="11" spans="2:10" x14ac:dyDescent="0.25"/>
    <row r="12" spans="2:10" x14ac:dyDescent="0.25"/>
    <row r="13" spans="2:10" x14ac:dyDescent="0.25">
      <c r="B13" t="s">
        <v>8</v>
      </c>
      <c r="C13">
        <v>544</v>
      </c>
      <c r="D13" t="s">
        <v>0</v>
      </c>
      <c r="E13">
        <v>4</v>
      </c>
      <c r="G13" t="s">
        <v>8</v>
      </c>
      <c r="H13">
        <v>544</v>
      </c>
      <c r="I13" t="s">
        <v>0</v>
      </c>
      <c r="J13">
        <v>8</v>
      </c>
    </row>
    <row r="14" spans="2:10" x14ac:dyDescent="0.25">
      <c r="B14" t="s">
        <v>2</v>
      </c>
      <c r="C14">
        <v>0.1</v>
      </c>
      <c r="D14" t="s">
        <v>3</v>
      </c>
      <c r="E14" t="s">
        <v>10</v>
      </c>
      <c r="G14" t="s">
        <v>2</v>
      </c>
      <c r="H14">
        <v>0.01</v>
      </c>
      <c r="I14" t="s">
        <v>3</v>
      </c>
      <c r="J14" t="s">
        <v>10</v>
      </c>
    </row>
    <row r="15" spans="2:10" x14ac:dyDescent="0.25"/>
    <row r="16" spans="2:10" x14ac:dyDescent="0.25"/>
    <row r="17" spans="2:10" x14ac:dyDescent="0.25"/>
    <row r="18" spans="2:10" x14ac:dyDescent="0.25"/>
    <row r="19" spans="2:10" x14ac:dyDescent="0.25"/>
    <row r="20" spans="2:10" x14ac:dyDescent="0.25"/>
    <row r="21" spans="2:10" x14ac:dyDescent="0.25"/>
    <row r="22" spans="2:10" x14ac:dyDescent="0.25"/>
    <row r="23" spans="2:10" x14ac:dyDescent="0.25"/>
    <row r="24" spans="2:10" x14ac:dyDescent="0.25">
      <c r="B24" t="s">
        <v>8</v>
      </c>
      <c r="C24">
        <v>544</v>
      </c>
      <c r="D24" t="s">
        <v>0</v>
      </c>
      <c r="E24">
        <v>8</v>
      </c>
      <c r="G24" t="s">
        <v>8</v>
      </c>
      <c r="H24">
        <v>544</v>
      </c>
      <c r="I24" t="s">
        <v>0</v>
      </c>
      <c r="J24">
        <v>4</v>
      </c>
    </row>
    <row r="25" spans="2:10" x14ac:dyDescent="0.25">
      <c r="B25" t="s">
        <v>2</v>
      </c>
      <c r="C25">
        <v>0.1</v>
      </c>
      <c r="D25" t="s">
        <v>3</v>
      </c>
      <c r="E25" t="s">
        <v>10</v>
      </c>
      <c r="G25" t="s">
        <v>2</v>
      </c>
      <c r="H25">
        <v>1E-3</v>
      </c>
      <c r="I25" t="s">
        <v>3</v>
      </c>
      <c r="J25" t="s">
        <v>11</v>
      </c>
    </row>
    <row r="26" spans="2:10" x14ac:dyDescent="0.25"/>
    <row r="27" spans="2:10" x14ac:dyDescent="0.25"/>
    <row r="28" spans="2:10" x14ac:dyDescent="0.25"/>
    <row r="29" spans="2:10" x14ac:dyDescent="0.25"/>
    <row r="30" spans="2:10" x14ac:dyDescent="0.25"/>
    <row r="31" spans="2:10" x14ac:dyDescent="0.25"/>
    <row r="32" spans="2:10" x14ac:dyDescent="0.25"/>
    <row r="33" x14ac:dyDescent="0.25"/>
    <row r="34" x14ac:dyDescent="0.25"/>
    <row r="35" ht="15" hidden="1" customHeight="1" x14ac:dyDescent="0.25"/>
    <row r="36" ht="15" hidden="1" customHeight="1" x14ac:dyDescent="0.25"/>
    <row r="37" ht="15" hidden="1" customHeight="1" x14ac:dyDescent="0.25"/>
    <row r="38" ht="15" hidden="1" customHeight="1" x14ac:dyDescent="0.25"/>
    <row r="39" ht="15" hidden="1" customHeight="1" x14ac:dyDescent="0.25"/>
    <row r="40" ht="15" hidden="1" customHeight="1" x14ac:dyDescent="0.25"/>
    <row r="41" ht="15" hidden="1" customHeight="1" x14ac:dyDescent="0.25"/>
    <row r="42" ht="15" hidden="1" customHeight="1" x14ac:dyDescent="0.25"/>
    <row r="43" ht="15" hidden="1" customHeight="1" x14ac:dyDescent="0.25"/>
    <row r="44" ht="15" hidden="1" customHeight="1" x14ac:dyDescent="0.25"/>
    <row r="45" ht="15" hidden="1" customHeight="1" x14ac:dyDescent="0.25"/>
    <row r="46" ht="15" hidden="1" customHeight="1" x14ac:dyDescent="0.25"/>
    <row r="47" ht="15" hidden="1" customHeight="1" x14ac:dyDescent="0.25"/>
    <row r="48" ht="15" hidden="1" customHeight="1" x14ac:dyDescent="0.25"/>
    <row r="49" ht="15" hidden="1" customHeight="1" x14ac:dyDescent="0.25"/>
    <row r="50" ht="15" hidden="1" customHeight="1" x14ac:dyDescent="0.25"/>
    <row r="51" ht="15" hidden="1" customHeight="1" x14ac:dyDescent="0.25"/>
    <row r="52" ht="15" hidden="1" customHeight="1" x14ac:dyDescent="0.25"/>
    <row r="53" ht="15" hidden="1" customHeight="1" x14ac:dyDescent="0.25"/>
    <row r="54" ht="15" hidden="1" customHeight="1" x14ac:dyDescent="0.25"/>
    <row r="55" ht="15" hidden="1" customHeight="1" x14ac:dyDescent="0.25"/>
    <row r="56" ht="15" hidden="1" customHeight="1" x14ac:dyDescent="0.25"/>
    <row r="57" ht="15" hidden="1" customHeight="1" x14ac:dyDescent="0.25"/>
    <row r="58" ht="15" hidden="1" customHeight="1" x14ac:dyDescent="0.25"/>
    <row r="59" ht="15" hidden="1" customHeight="1" x14ac:dyDescent="0.25"/>
    <row r="60" ht="15" hidden="1" customHeight="1" x14ac:dyDescent="0.25"/>
    <row r="61" ht="15" hidden="1" customHeight="1" x14ac:dyDescent="0.25"/>
    <row r="62" ht="15" hidden="1" customHeight="1" x14ac:dyDescent="0.25"/>
    <row r="63" ht="15" hidden="1" customHeight="1" x14ac:dyDescent="0.25"/>
    <row r="64" ht="15" hidden="1" customHeight="1" x14ac:dyDescent="0.25"/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9BB155-4156-40FF-895C-8E20FCFFF619}">
  <sheetPr codeName="Sheet5">
    <tabColor theme="9" tint="-0.249977111117893"/>
  </sheetPr>
  <dimension ref="A1:N44"/>
  <sheetViews>
    <sheetView showGridLines="0" zoomScale="85" zoomScaleNormal="85" workbookViewId="0"/>
  </sheetViews>
  <sheetFormatPr defaultColWidth="0" defaultRowHeight="15" zeroHeight="1" x14ac:dyDescent="0.25"/>
  <cols>
    <col min="1" max="1" width="14.140625" bestFit="1" customWidth="1"/>
    <col min="2" max="3" width="9.140625" customWidth="1"/>
    <col min="4" max="4" width="9.28515625" customWidth="1"/>
    <col min="5" max="5" width="12.42578125" customWidth="1"/>
    <col min="6" max="6" width="9.140625" hidden="1" customWidth="1"/>
    <col min="7" max="7" width="13.140625" customWidth="1"/>
    <col min="8" max="8" width="7.7109375" customWidth="1"/>
    <col min="9" max="9" width="12.7109375" customWidth="1"/>
    <col min="10" max="10" width="11.140625" customWidth="1"/>
    <col min="11" max="12" width="12" customWidth="1"/>
    <col min="13" max="13" width="3.5703125" customWidth="1"/>
    <col min="14" max="14" width="0" hidden="1" customWidth="1"/>
    <col min="15" max="16384" width="9.140625" hidden="1"/>
  </cols>
  <sheetData>
    <row r="1" spans="1:12" x14ac:dyDescent="0.25">
      <c r="A1" t="s">
        <v>9</v>
      </c>
      <c r="B1" t="s">
        <v>0</v>
      </c>
      <c r="C1" t="s">
        <v>8</v>
      </c>
      <c r="D1" t="s">
        <v>1</v>
      </c>
      <c r="E1" t="s">
        <v>2</v>
      </c>
      <c r="F1" t="s">
        <v>12</v>
      </c>
      <c r="G1" t="s">
        <v>3</v>
      </c>
      <c r="H1" t="s">
        <v>5</v>
      </c>
      <c r="I1" t="s">
        <v>6</v>
      </c>
      <c r="J1" t="s">
        <v>7</v>
      </c>
      <c r="K1" t="s">
        <v>4</v>
      </c>
      <c r="L1" t="s">
        <v>13</v>
      </c>
    </row>
    <row r="2" spans="1:12" x14ac:dyDescent="0.25">
      <c r="A2" s="4" t="s">
        <v>15</v>
      </c>
      <c r="B2" s="4">
        <v>4</v>
      </c>
      <c r="C2" s="4">
        <v>544</v>
      </c>
      <c r="D2" s="4">
        <v>408</v>
      </c>
      <c r="E2" s="4">
        <v>0.01</v>
      </c>
      <c r="F2" s="4" t="s">
        <v>16</v>
      </c>
      <c r="G2" s="4" t="str">
        <f t="shared" ref="G2:G9" si="0">IF(RIGHT(LEFT(F2,47),4)="Adam","Adam","SGD")</f>
        <v>Adam</v>
      </c>
      <c r="H2" s="5">
        <v>2386.2004094123799</v>
      </c>
      <c r="I2" s="6">
        <v>3.0678116033057199</v>
      </c>
      <c r="J2" s="6">
        <v>2.8277920468857398</v>
      </c>
      <c r="K2" s="6">
        <v>3.12890139771135</v>
      </c>
      <c r="L2" s="6">
        <f t="shared" ref="L2:L9" si="1">SQRT(K2)</f>
        <v>1.7688700906825663</v>
      </c>
    </row>
    <row r="3" spans="1:12" x14ac:dyDescent="0.25">
      <c r="A3" t="s">
        <v>15</v>
      </c>
      <c r="B3">
        <v>4</v>
      </c>
      <c r="C3">
        <v>362</v>
      </c>
      <c r="D3">
        <v>272</v>
      </c>
      <c r="E3">
        <v>1E-3</v>
      </c>
      <c r="F3" t="s">
        <v>21</v>
      </c>
      <c r="G3" t="str">
        <f t="shared" si="0"/>
        <v>Adam</v>
      </c>
      <c r="H3" s="2">
        <v>1063.97920060157</v>
      </c>
      <c r="I3" s="1">
        <v>2.5251761271672999</v>
      </c>
      <c r="J3" s="1">
        <v>3.1778516192969501</v>
      </c>
      <c r="K3" s="1">
        <v>3.1846280876351001</v>
      </c>
      <c r="L3" s="1">
        <f t="shared" si="1"/>
        <v>1.7845526295503589</v>
      </c>
    </row>
    <row r="4" spans="1:12" x14ac:dyDescent="0.25">
      <c r="A4" t="s">
        <v>15</v>
      </c>
      <c r="B4">
        <v>4</v>
      </c>
      <c r="C4">
        <v>362</v>
      </c>
      <c r="D4">
        <v>272</v>
      </c>
      <c r="E4">
        <v>0.01</v>
      </c>
      <c r="F4" t="s">
        <v>17</v>
      </c>
      <c r="G4" t="str">
        <f t="shared" si="0"/>
        <v>Adam</v>
      </c>
      <c r="H4" s="2">
        <v>1029.84113812446</v>
      </c>
      <c r="I4" s="1">
        <v>2.4583611029411498</v>
      </c>
      <c r="J4" s="1">
        <v>3.13273640525968</v>
      </c>
      <c r="K4" s="1">
        <v>3.44108795649126</v>
      </c>
      <c r="L4" s="1">
        <f t="shared" si="1"/>
        <v>1.8550169693270355</v>
      </c>
    </row>
    <row r="5" spans="1:12" x14ac:dyDescent="0.25">
      <c r="A5" t="s">
        <v>15</v>
      </c>
      <c r="B5">
        <v>4</v>
      </c>
      <c r="C5">
        <v>362</v>
      </c>
      <c r="D5">
        <v>272</v>
      </c>
      <c r="E5">
        <v>0.01</v>
      </c>
      <c r="F5" t="s">
        <v>19</v>
      </c>
      <c r="G5" t="str">
        <f t="shared" si="0"/>
        <v>SGD</v>
      </c>
      <c r="H5" s="2">
        <v>1236.15895247459</v>
      </c>
      <c r="I5" s="1">
        <v>3.9726166889718399</v>
      </c>
      <c r="J5" s="1">
        <v>4.0599707280726802</v>
      </c>
      <c r="K5" s="1">
        <v>3.8338977859208399</v>
      </c>
      <c r="L5" s="1">
        <f t="shared" si="1"/>
        <v>1.9580341636245369</v>
      </c>
    </row>
    <row r="6" spans="1:12" x14ac:dyDescent="0.25">
      <c r="A6" t="s">
        <v>15</v>
      </c>
      <c r="B6">
        <v>4</v>
      </c>
      <c r="C6">
        <v>362</v>
      </c>
      <c r="D6">
        <v>272</v>
      </c>
      <c r="E6">
        <v>1E-3</v>
      </c>
      <c r="F6" t="s">
        <v>23</v>
      </c>
      <c r="G6" t="str">
        <f t="shared" si="0"/>
        <v>SGD</v>
      </c>
      <c r="H6" s="2">
        <v>1035.99003863334</v>
      </c>
      <c r="I6" s="1">
        <v>4.3488026818975296</v>
      </c>
      <c r="J6" s="1">
        <v>4.6023726357441204</v>
      </c>
      <c r="K6" s="1">
        <v>4.0769315307077596</v>
      </c>
      <c r="L6" s="1">
        <f t="shared" si="1"/>
        <v>2.0191412854745354</v>
      </c>
    </row>
    <row r="7" spans="1:12" x14ac:dyDescent="0.25">
      <c r="A7" t="s">
        <v>15</v>
      </c>
      <c r="B7">
        <v>4</v>
      </c>
      <c r="C7">
        <v>544</v>
      </c>
      <c r="D7">
        <v>408</v>
      </c>
      <c r="E7">
        <v>1E-3</v>
      </c>
      <c r="F7" t="s">
        <v>20</v>
      </c>
      <c r="G7" t="str">
        <f t="shared" si="0"/>
        <v>Adam</v>
      </c>
      <c r="H7" s="2">
        <v>1650.45150780677</v>
      </c>
      <c r="I7" s="1">
        <v>4.5155685890455501</v>
      </c>
      <c r="J7" s="1">
        <v>4.4691051119252201</v>
      </c>
      <c r="K7" s="1">
        <v>4.5320547850508399</v>
      </c>
      <c r="L7" s="1">
        <f t="shared" si="1"/>
        <v>2.1288623217697382</v>
      </c>
    </row>
    <row r="8" spans="1:12" x14ac:dyDescent="0.25">
      <c r="A8" t="s">
        <v>15</v>
      </c>
      <c r="B8">
        <v>4</v>
      </c>
      <c r="C8">
        <v>544</v>
      </c>
      <c r="D8">
        <v>408</v>
      </c>
      <c r="E8">
        <v>1E-3</v>
      </c>
      <c r="F8" t="s">
        <v>22</v>
      </c>
      <c r="G8" t="str">
        <f t="shared" si="0"/>
        <v>SGD</v>
      </c>
      <c r="H8" s="2">
        <v>1770.7685787677699</v>
      </c>
      <c r="I8" s="1">
        <v>6.0520845147151503</v>
      </c>
      <c r="J8" s="1">
        <v>5.2336658192308301</v>
      </c>
      <c r="K8" s="1">
        <v>5.35732368183763</v>
      </c>
      <c r="L8" s="1">
        <f t="shared" si="1"/>
        <v>2.3145893117003782</v>
      </c>
    </row>
    <row r="9" spans="1:12" x14ac:dyDescent="0.25">
      <c r="A9" t="s">
        <v>15</v>
      </c>
      <c r="B9">
        <v>4</v>
      </c>
      <c r="C9">
        <v>544</v>
      </c>
      <c r="D9">
        <v>408</v>
      </c>
      <c r="E9">
        <v>0.01</v>
      </c>
      <c r="F9" t="s">
        <v>18</v>
      </c>
      <c r="G9" t="str">
        <f t="shared" si="0"/>
        <v>SGD</v>
      </c>
      <c r="H9" s="2">
        <v>1487.5525987148201</v>
      </c>
      <c r="I9" s="1">
        <v>6.5566364857329003</v>
      </c>
      <c r="J9" s="1">
        <v>5.6161851773136497</v>
      </c>
      <c r="K9" s="1">
        <v>5.6421558166804999</v>
      </c>
      <c r="L9" s="1">
        <f t="shared" si="1"/>
        <v>2.3753222553330526</v>
      </c>
    </row>
    <row r="10" spans="1:12" x14ac:dyDescent="0.25"/>
    <row r="11" spans="1:12" hidden="1" x14ac:dyDescent="0.25"/>
    <row r="12" spans="1:12" hidden="1" x14ac:dyDescent="0.25"/>
    <row r="13" spans="1:12" hidden="1" x14ac:dyDescent="0.25"/>
    <row r="14" spans="1:12" hidden="1" x14ac:dyDescent="0.25"/>
    <row r="15" spans="1:12" hidden="1" x14ac:dyDescent="0.25"/>
    <row r="16" spans="1:12" hidden="1" x14ac:dyDescent="0.25"/>
    <row r="17" hidden="1" x14ac:dyDescent="0.25"/>
    <row r="18" hidden="1" x14ac:dyDescent="0.25"/>
    <row r="19" hidden="1" x14ac:dyDescent="0.25"/>
    <row r="20" hidden="1" x14ac:dyDescent="0.25"/>
    <row r="21" hidden="1" x14ac:dyDescent="0.25"/>
    <row r="22" hidden="1" x14ac:dyDescent="0.25"/>
    <row r="23" hidden="1" x14ac:dyDescent="0.25"/>
    <row r="24" hidden="1" x14ac:dyDescent="0.25"/>
    <row r="25" hidden="1" x14ac:dyDescent="0.25"/>
    <row r="26" hidden="1" x14ac:dyDescent="0.25"/>
    <row r="27" hidden="1" x14ac:dyDescent="0.25"/>
    <row r="28" hidden="1" x14ac:dyDescent="0.25"/>
    <row r="29" hidden="1" x14ac:dyDescent="0.25"/>
    <row r="30" hidden="1" x14ac:dyDescent="0.25"/>
    <row r="31" hidden="1" x14ac:dyDescent="0.25"/>
    <row r="32" hidden="1" x14ac:dyDescent="0.25"/>
    <row r="33" hidden="1" x14ac:dyDescent="0.25"/>
    <row r="34" hidden="1" x14ac:dyDescent="0.25"/>
    <row r="35" hidden="1" x14ac:dyDescent="0.25"/>
    <row r="36" hidden="1" x14ac:dyDescent="0.25"/>
    <row r="37" hidden="1" x14ac:dyDescent="0.25"/>
    <row r="38" hidden="1" x14ac:dyDescent="0.25"/>
    <row r="39" hidden="1" x14ac:dyDescent="0.25"/>
    <row r="40" hidden="1" x14ac:dyDescent="0.25"/>
    <row r="41" hidden="1" x14ac:dyDescent="0.25"/>
    <row r="42" hidden="1" x14ac:dyDescent="0.25"/>
    <row r="43" hidden="1" x14ac:dyDescent="0.25"/>
    <row r="44" hidden="1" x14ac:dyDescent="0.25"/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C030D3-1611-4DF8-8829-B25FB2624F08}">
  <sheetPr codeName="Sheet6">
    <tabColor theme="9" tint="0.39997558519241921"/>
  </sheetPr>
  <dimension ref="A1:P52"/>
  <sheetViews>
    <sheetView showGridLines="0" zoomScale="70" zoomScaleNormal="70" workbookViewId="0"/>
  </sheetViews>
  <sheetFormatPr defaultColWidth="0" defaultRowHeight="15" customHeight="1" zeroHeight="1" x14ac:dyDescent="0.25"/>
  <cols>
    <col min="1" max="1" width="3.28515625" customWidth="1"/>
    <col min="2" max="2" width="11.5703125" customWidth="1"/>
    <col min="3" max="3" width="9.140625" customWidth="1"/>
    <col min="4" max="4" width="9.85546875" bestFit="1" customWidth="1"/>
    <col min="5" max="6" width="9.140625" customWidth="1"/>
    <col min="7" max="7" width="11.5703125" customWidth="1"/>
    <col min="8" max="8" width="9.140625" customWidth="1"/>
    <col min="9" max="9" width="9.85546875" bestFit="1" customWidth="1"/>
    <col min="10" max="10" width="9.140625" customWidth="1"/>
    <col min="11" max="11" width="5" customWidth="1"/>
    <col min="12" max="12" width="9.140625" hidden="1" customWidth="1"/>
    <col min="13" max="16" width="0" hidden="1" customWidth="1"/>
    <col min="17" max="16384" width="9.140625" hidden="1"/>
  </cols>
  <sheetData>
    <row r="1" spans="2:11" x14ac:dyDescent="0.25"/>
    <row r="2" spans="2:11" x14ac:dyDescent="0.25">
      <c r="B2" s="4" t="s">
        <v>8</v>
      </c>
      <c r="C2" s="4">
        <v>544</v>
      </c>
      <c r="D2" s="4" t="s">
        <v>14</v>
      </c>
      <c r="E2" s="4">
        <v>0.01</v>
      </c>
      <c r="G2" t="s">
        <v>8</v>
      </c>
      <c r="H2">
        <v>544</v>
      </c>
      <c r="I2" t="s">
        <v>14</v>
      </c>
      <c r="J2">
        <v>1E-3</v>
      </c>
    </row>
    <row r="3" spans="2:11" x14ac:dyDescent="0.25">
      <c r="B3" s="4" t="s">
        <v>1</v>
      </c>
      <c r="C3" s="4">
        <v>408</v>
      </c>
      <c r="D3" s="4" t="s">
        <v>3</v>
      </c>
      <c r="E3" s="4" t="s">
        <v>10</v>
      </c>
      <c r="G3" t="s">
        <v>1</v>
      </c>
      <c r="H3">
        <v>408</v>
      </c>
      <c r="I3" t="s">
        <v>3</v>
      </c>
      <c r="J3" t="s">
        <v>10</v>
      </c>
    </row>
    <row r="4" spans="2:11" x14ac:dyDescent="0.25"/>
    <row r="5" spans="2:11" x14ac:dyDescent="0.25"/>
    <row r="6" spans="2:11" x14ac:dyDescent="0.25"/>
    <row r="7" spans="2:11" x14ac:dyDescent="0.25"/>
    <row r="8" spans="2:11" x14ac:dyDescent="0.25"/>
    <row r="9" spans="2:11" x14ac:dyDescent="0.25"/>
    <row r="10" spans="2:11" x14ac:dyDescent="0.25"/>
    <row r="11" spans="2:11" x14ac:dyDescent="0.25"/>
    <row r="12" spans="2:11" x14ac:dyDescent="0.25"/>
    <row r="13" spans="2:11" x14ac:dyDescent="0.25">
      <c r="B13" t="s">
        <v>8</v>
      </c>
      <c r="C13">
        <v>362</v>
      </c>
      <c r="D13" t="s">
        <v>14</v>
      </c>
      <c r="E13">
        <v>0.01</v>
      </c>
      <c r="G13" s="3" t="s">
        <v>8</v>
      </c>
      <c r="H13" s="3">
        <v>362</v>
      </c>
      <c r="I13" s="3" t="s">
        <v>14</v>
      </c>
      <c r="J13" s="3">
        <v>1E-3</v>
      </c>
      <c r="K13" s="3"/>
    </row>
    <row r="14" spans="2:11" x14ac:dyDescent="0.25">
      <c r="B14" t="s">
        <v>1</v>
      </c>
      <c r="C14">
        <v>272</v>
      </c>
      <c r="D14" t="s">
        <v>3</v>
      </c>
      <c r="E14" t="s">
        <v>10</v>
      </c>
      <c r="G14" s="3" t="s">
        <v>1</v>
      </c>
      <c r="H14" s="3">
        <v>272</v>
      </c>
      <c r="I14" s="3" t="s">
        <v>3</v>
      </c>
      <c r="J14" s="3" t="s">
        <v>10</v>
      </c>
      <c r="K14" s="3"/>
    </row>
    <row r="15" spans="2:11" x14ac:dyDescent="0.25"/>
    <row r="16" spans="2:11" x14ac:dyDescent="0.25"/>
    <row r="17" spans="2:10" x14ac:dyDescent="0.25"/>
    <row r="18" spans="2:10" x14ac:dyDescent="0.25"/>
    <row r="19" spans="2:10" x14ac:dyDescent="0.25"/>
    <row r="20" spans="2:10" x14ac:dyDescent="0.25"/>
    <row r="21" spans="2:10" x14ac:dyDescent="0.25"/>
    <row r="22" spans="2:10" x14ac:dyDescent="0.25"/>
    <row r="23" spans="2:10" x14ac:dyDescent="0.25"/>
    <row r="24" spans="2:10" x14ac:dyDescent="0.25">
      <c r="B24" t="s">
        <v>8</v>
      </c>
      <c r="C24">
        <v>544</v>
      </c>
      <c r="D24" t="s">
        <v>14</v>
      </c>
      <c r="E24">
        <v>0.01</v>
      </c>
      <c r="G24" t="s">
        <v>8</v>
      </c>
      <c r="H24">
        <v>544</v>
      </c>
      <c r="I24" t="s">
        <v>14</v>
      </c>
      <c r="J24">
        <v>1E-3</v>
      </c>
    </row>
    <row r="25" spans="2:10" x14ac:dyDescent="0.25">
      <c r="B25" t="s">
        <v>1</v>
      </c>
      <c r="C25">
        <v>408</v>
      </c>
      <c r="D25" t="s">
        <v>3</v>
      </c>
      <c r="E25" t="s">
        <v>11</v>
      </c>
      <c r="G25" t="s">
        <v>1</v>
      </c>
      <c r="H25">
        <v>408</v>
      </c>
      <c r="I25" t="s">
        <v>3</v>
      </c>
      <c r="J25" t="s">
        <v>11</v>
      </c>
    </row>
    <row r="26" spans="2:10" x14ac:dyDescent="0.25"/>
    <row r="27" spans="2:10" x14ac:dyDescent="0.25"/>
    <row r="28" spans="2:10" x14ac:dyDescent="0.25"/>
    <row r="29" spans="2:10" x14ac:dyDescent="0.25"/>
    <row r="30" spans="2:10" x14ac:dyDescent="0.25"/>
    <row r="31" spans="2:10" x14ac:dyDescent="0.25"/>
    <row r="32" spans="2:10" x14ac:dyDescent="0.25"/>
    <row r="33" spans="2:10" x14ac:dyDescent="0.25"/>
    <row r="34" spans="2:10" x14ac:dyDescent="0.25"/>
    <row r="35" spans="2:10" x14ac:dyDescent="0.25">
      <c r="B35" t="s">
        <v>8</v>
      </c>
      <c r="C35">
        <v>362</v>
      </c>
      <c r="D35" t="s">
        <v>14</v>
      </c>
      <c r="E35">
        <v>0.01</v>
      </c>
      <c r="G35" t="s">
        <v>8</v>
      </c>
      <c r="H35">
        <v>362</v>
      </c>
      <c r="I35" t="s">
        <v>14</v>
      </c>
      <c r="J35">
        <v>1E-3</v>
      </c>
    </row>
    <row r="36" spans="2:10" x14ac:dyDescent="0.25">
      <c r="B36" t="s">
        <v>1</v>
      </c>
      <c r="C36">
        <v>272</v>
      </c>
      <c r="D36" t="s">
        <v>3</v>
      </c>
      <c r="E36" t="s">
        <v>11</v>
      </c>
      <c r="G36" t="s">
        <v>1</v>
      </c>
      <c r="H36">
        <v>272</v>
      </c>
      <c r="I36" t="s">
        <v>3</v>
      </c>
      <c r="J36" t="s">
        <v>11</v>
      </c>
    </row>
    <row r="37" spans="2:10" x14ac:dyDescent="0.25"/>
    <row r="38" spans="2:10" x14ac:dyDescent="0.25"/>
    <row r="39" spans="2:10" x14ac:dyDescent="0.25"/>
    <row r="40" spans="2:10" x14ac:dyDescent="0.25"/>
    <row r="41" spans="2:10" x14ac:dyDescent="0.25"/>
    <row r="42" spans="2:10" x14ac:dyDescent="0.25"/>
    <row r="43" spans="2:10" x14ac:dyDescent="0.25"/>
    <row r="44" spans="2:10" x14ac:dyDescent="0.25"/>
    <row r="45" spans="2:10" x14ac:dyDescent="0.25"/>
    <row r="46" spans="2:10" x14ac:dyDescent="0.25"/>
    <row r="47" spans="2:10" ht="15" hidden="1" customHeight="1" x14ac:dyDescent="0.25"/>
    <row r="48" spans="2:10" ht="15" hidden="1" customHeight="1" x14ac:dyDescent="0.25"/>
    <row r="49" ht="15" hidden="1" customHeight="1" x14ac:dyDescent="0.25"/>
    <row r="50" ht="15" hidden="1" customHeight="1" x14ac:dyDescent="0.25"/>
    <row r="51" ht="15" hidden="1" customHeight="1" x14ac:dyDescent="0.25"/>
    <row r="52" ht="15" hidden="1" customHeight="1" x14ac:dyDescent="0.25"/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summ_results_DA_sencillo</vt:lpstr>
      <vt:lpstr>DA_Base</vt:lpstr>
      <vt:lpstr>DA_Extra</vt:lpstr>
      <vt:lpstr>DA_Extra_filt</vt:lpstr>
      <vt:lpstr>summ_results_DA_fine_tuning</vt:lpstr>
      <vt:lpstr>DA_Fine_Tuning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Ignacio D. Lopez</cp:lastModifiedBy>
  <dcterms:created xsi:type="dcterms:W3CDTF">2020-06-10T18:30:18Z</dcterms:created>
  <dcterms:modified xsi:type="dcterms:W3CDTF">2020-06-16T16:40:35Z</dcterms:modified>
</cp:coreProperties>
</file>