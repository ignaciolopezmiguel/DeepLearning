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ter AEPIA\1er año\6. Deep learning\Trabajo\all\"/>
    </mc:Choice>
  </mc:AlternateContent>
  <xr:revisionPtr revIDLastSave="0" documentId="13_ncr:1_{DD29024D-7A6B-43C1-B9BE-7A6923A8EB89}" xr6:coauthVersionLast="45" xr6:coauthVersionMax="45" xr10:uidLastSave="{00000000-0000-0000-0000-000000000000}"/>
  <bookViews>
    <workbookView xWindow="-120" yWindow="-120" windowWidth="29040" windowHeight="15840" tabRatio="800" xr2:uid="{00000000-000D-0000-FFFF-FFFF00000000}"/>
  </bookViews>
  <sheets>
    <sheet name="summ_results_base" sheetId="1" r:id="rId1"/>
    <sheet name="Base_LearnRate_0.1" sheetId="2" r:id="rId2"/>
    <sheet name="Base_LearnRate_0.01" sheetId="3" r:id="rId3"/>
    <sheet name="Base_LearnRate_0.001" sheetId="4" r:id="rId4"/>
    <sheet name="summ_results_extra" sheetId="5" r:id="rId5"/>
    <sheet name="Extra_LearnRate_0.1" sheetId="6" r:id="rId6"/>
    <sheet name="Extra_LearnRate_0.01" sheetId="7" r:id="rId7"/>
    <sheet name="Extra_LearnRate_0.001" sheetId="8" r:id="rId8"/>
    <sheet name="summ_results_extra_filt" sheetId="13" r:id="rId9"/>
    <sheet name="Extra_filt_LearnRate_0.1" sheetId="12" r:id="rId10"/>
    <sheet name="Extra_filt_LearnRate_0.01" sheetId="11" r:id="rId11"/>
    <sheet name="Extra_filt_LearnRate_0.001" sheetId="10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13" l="1"/>
  <c r="L18" i="13"/>
  <c r="L24" i="13"/>
  <c r="L20" i="13"/>
  <c r="L15" i="13"/>
  <c r="L8" i="13"/>
  <c r="L26" i="13"/>
  <c r="L28" i="13"/>
  <c r="L25" i="13"/>
  <c r="L23" i="13"/>
  <c r="L37" i="13"/>
  <c r="L7" i="13"/>
  <c r="L6" i="13"/>
  <c r="L10" i="13"/>
  <c r="L17" i="13"/>
  <c r="L32" i="13"/>
  <c r="L33" i="13"/>
  <c r="L22" i="13"/>
  <c r="L9" i="13"/>
  <c r="L14" i="13"/>
  <c r="L30" i="13"/>
  <c r="L29" i="13"/>
  <c r="L35" i="13"/>
  <c r="L11" i="13"/>
  <c r="L3" i="13"/>
  <c r="L19" i="13"/>
  <c r="L16" i="13"/>
  <c r="L21" i="13"/>
  <c r="L31" i="13"/>
  <c r="L5" i="13"/>
  <c r="L12" i="13"/>
  <c r="L36" i="13"/>
  <c r="L13" i="13"/>
  <c r="L27" i="13"/>
  <c r="L34" i="13"/>
  <c r="L2" i="13"/>
  <c r="L14" i="1"/>
  <c r="L2" i="1"/>
  <c r="L18" i="1"/>
  <c r="L12" i="1"/>
  <c r="L17" i="1"/>
  <c r="L31" i="1"/>
  <c r="L28" i="1"/>
  <c r="L29" i="1"/>
  <c r="L26" i="1"/>
  <c r="L27" i="1"/>
  <c r="L35" i="1"/>
  <c r="L19" i="1"/>
  <c r="L9" i="1"/>
  <c r="L4" i="1"/>
  <c r="L6" i="1"/>
  <c r="L7" i="1"/>
  <c r="L10" i="1"/>
  <c r="L11" i="1"/>
  <c r="L25" i="1"/>
  <c r="L32" i="1"/>
  <c r="L22" i="1"/>
  <c r="L13" i="1"/>
  <c r="L36" i="1"/>
  <c r="L8" i="1"/>
  <c r="L3" i="1"/>
  <c r="L34" i="1"/>
  <c r="L5" i="1"/>
  <c r="L16" i="1"/>
  <c r="L30" i="1"/>
  <c r="L15" i="1"/>
  <c r="L20" i="1"/>
  <c r="L37" i="1"/>
  <c r="L24" i="1"/>
  <c r="L33" i="1"/>
  <c r="L23" i="1"/>
  <c r="L21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G4" i="13"/>
  <c r="G18" i="13"/>
  <c r="G24" i="13"/>
  <c r="G20" i="13"/>
  <c r="G15" i="13"/>
  <c r="G8" i="13"/>
  <c r="G26" i="13"/>
  <c r="G28" i="13"/>
  <c r="G25" i="13"/>
  <c r="G23" i="13"/>
  <c r="G37" i="13"/>
  <c r="G7" i="13"/>
  <c r="G6" i="13"/>
  <c r="G10" i="13"/>
  <c r="G17" i="13"/>
  <c r="G32" i="13"/>
  <c r="G33" i="13"/>
  <c r="G22" i="13"/>
  <c r="G9" i="13"/>
  <c r="G14" i="13"/>
  <c r="G30" i="13"/>
  <c r="G29" i="13"/>
  <c r="G35" i="13"/>
  <c r="G11" i="13"/>
  <c r="G3" i="13"/>
  <c r="G19" i="13"/>
  <c r="G16" i="13"/>
  <c r="G21" i="13"/>
  <c r="G31" i="13"/>
  <c r="G5" i="13"/>
  <c r="G12" i="13"/>
  <c r="G36" i="13"/>
  <c r="G13" i="13"/>
  <c r="G27" i="13"/>
  <c r="G34" i="13"/>
  <c r="G2" i="13"/>
  <c r="G14" i="1"/>
  <c r="G2" i="1"/>
  <c r="G18" i="1"/>
  <c r="G12" i="1"/>
  <c r="G17" i="1"/>
  <c r="G31" i="1"/>
  <c r="G28" i="1"/>
  <c r="G29" i="1"/>
  <c r="G26" i="1"/>
  <c r="G27" i="1"/>
  <c r="G35" i="1"/>
  <c r="G19" i="1"/>
  <c r="G9" i="1"/>
  <c r="G4" i="1"/>
  <c r="G6" i="1"/>
  <c r="G7" i="1"/>
  <c r="G10" i="1"/>
  <c r="G11" i="1"/>
  <c r="G25" i="1"/>
  <c r="G32" i="1"/>
  <c r="G22" i="1"/>
  <c r="G13" i="1"/>
  <c r="G36" i="1"/>
  <c r="G8" i="1"/>
  <c r="G3" i="1"/>
  <c r="G34" i="1"/>
  <c r="G5" i="1"/>
  <c r="G16" i="1"/>
  <c r="G30" i="1"/>
  <c r="G15" i="1"/>
  <c r="G20" i="1"/>
  <c r="G37" i="1"/>
  <c r="G24" i="1"/>
  <c r="G33" i="1"/>
  <c r="G23" i="1"/>
  <c r="G21" i="1"/>
  <c r="G11" i="5"/>
  <c r="G7" i="5"/>
  <c r="G14" i="5"/>
  <c r="G13" i="5"/>
  <c r="G27" i="5"/>
  <c r="G17" i="5"/>
  <c r="G19" i="5"/>
  <c r="G26" i="5"/>
  <c r="G18" i="5"/>
  <c r="G36" i="5"/>
  <c r="G37" i="5"/>
  <c r="G5" i="5"/>
  <c r="G12" i="5"/>
  <c r="G2" i="5"/>
  <c r="G20" i="5"/>
  <c r="G24" i="5"/>
  <c r="G33" i="5"/>
  <c r="G21" i="5"/>
  <c r="G28" i="5"/>
  <c r="G30" i="5"/>
  <c r="G23" i="5"/>
  <c r="G29" i="5"/>
  <c r="G32" i="5"/>
  <c r="G4" i="5"/>
  <c r="G8" i="5"/>
  <c r="G6" i="5"/>
  <c r="G15" i="5"/>
  <c r="G16" i="5"/>
  <c r="G22" i="5"/>
  <c r="G10" i="5"/>
  <c r="G9" i="5"/>
  <c r="G31" i="5"/>
  <c r="G25" i="5"/>
  <c r="G34" i="5"/>
  <c r="G35" i="5"/>
  <c r="G3" i="5"/>
</calcChain>
</file>

<file path=xl/sharedStrings.xml><?xml version="1.0" encoding="utf-8"?>
<sst xmlns="http://schemas.openxmlformats.org/spreadsheetml/2006/main" count="792" uniqueCount="125">
  <si>
    <t>Batch</t>
  </si>
  <si>
    <t>Height</t>
  </si>
  <si>
    <t>LearnRate</t>
  </si>
  <si>
    <t>Optimizer</t>
  </si>
  <si>
    <t>Test_loss</t>
  </si>
  <si>
    <t>Time</t>
  </si>
  <si>
    <t>Train_loss</t>
  </si>
  <si>
    <t>Val_loss</t>
  </si>
  <si>
    <t>Width</t>
  </si>
  <si>
    <t>Arq</t>
  </si>
  <si>
    <t>Base</t>
  </si>
  <si>
    <t>Adam</t>
  </si>
  <si>
    <t>SGD</t>
  </si>
  <si>
    <t>Extra</t>
  </si>
  <si>
    <t>&lt;tensorflow.python.keras.optimizer_v2.adam.Adam object at 0x7fc49893ceb8&gt;</t>
  </si>
  <si>
    <t>&lt;tensorflow.python.keras.optimizer_v2.adam.Adam object at 0x7fc498990518&gt;</t>
  </si>
  <si>
    <t>&lt;tensorflow.python.keras.optimizer_v2.adam.Adam object at 0x7fc4989906d8&gt;</t>
  </si>
  <si>
    <t>&lt;tensorflow.python.keras.optimizer_v2.adam.Adam object at 0x7fc4989906a0&gt;</t>
  </si>
  <si>
    <t>&lt;tensorflow.python.keras.optimizer_v2.adam.Adam object at 0x7fc4989904e0&gt;</t>
  </si>
  <si>
    <t>&lt;tensorflow.python.keras.optimizer_v2.adam.Adam object at 0x7fc498990780&gt;</t>
  </si>
  <si>
    <t>&lt;tensorflow.python.keras.optimizer_v2.gradient_descent.SGD object at 0x7fc498990f98&gt;</t>
  </si>
  <si>
    <t>&lt;tensorflow.python.keras.optimizer_v2.gradient_descent.SGD object at 0x7fc498990e48&gt;</t>
  </si>
  <si>
    <t>&lt;tensorflow.python.keras.optimizer_v2.gradient_descent.SGD object at 0x7fc498990b00&gt;</t>
  </si>
  <si>
    <t>&lt;tensorflow.python.keras.optimizer_v2.gradient_descent.SGD object at 0x7fc498990358&gt;</t>
  </si>
  <si>
    <t>&lt;tensorflow.python.keras.optimizer_v2.gradient_descent.SGD object at 0x7fc498990438&gt;</t>
  </si>
  <si>
    <t>&lt;tensorflow.python.keras.optimizer_v2.gradient_descent.SGD object at 0x7fc498990ac8&gt;</t>
  </si>
  <si>
    <t>&lt;tensorflow.python.keras.optimizer_v2.adam.Adam object at 0x7fc498990c18&gt;</t>
  </si>
  <si>
    <t>&lt;tensorflow.python.keras.optimizer_v2.adam.Adam object at 0x7fc4989e9748&gt;</t>
  </si>
  <si>
    <t>&lt;tensorflow.python.keras.optimizer_v2.adam.Adam object at 0x7fc4989e9a90&gt;</t>
  </si>
  <si>
    <t>&lt;tensorflow.python.keras.optimizer_v2.adam.Adam object at 0x7fc4989e9b00&gt;</t>
  </si>
  <si>
    <t>&lt;tensorflow.python.keras.optimizer_v2.adam.Adam object at 0x7fc4989e9f98&gt;</t>
  </si>
  <si>
    <t>&lt;tensorflow.python.keras.optimizer_v2.adam.Adam object at 0x7fc4989e9eb8&gt;</t>
  </si>
  <si>
    <t>&lt;tensorflow.python.keras.optimizer_v2.gradient_descent.SGD object at 0x7fc4989e9cc0&gt;</t>
  </si>
  <si>
    <t>&lt;tensorflow.python.keras.optimizer_v2.gradient_descent.SGD object at 0x7fc4989e9978&gt;</t>
  </si>
  <si>
    <t>&lt;tensorflow.python.keras.optimizer_v2.gradient_descent.SGD object at 0x7fc4989e99e8&gt;</t>
  </si>
  <si>
    <t>&lt;tensorflow.python.keras.optimizer_v2.gradient_descent.SGD object at 0x7fc51c5a7a58&gt;</t>
  </si>
  <si>
    <t>&lt;tensorflow.python.keras.optimizer_v2.gradient_descent.SGD object at 0x7fc51c5a79e8&gt;</t>
  </si>
  <si>
    <t>&lt;tensorflow.python.keras.optimizer_v2.gradient_descent.SGD object at 0x7fc51c5a7da0&gt;</t>
  </si>
  <si>
    <t>&lt;tensorflow.python.keras.optimizer_v2.adam.Adam object at 0x7fc51c5a7f28&gt;</t>
  </si>
  <si>
    <t>&lt;tensorflow.python.keras.optimizer_v2.adam.Adam object at 0x7fc51c5a7c18&gt;</t>
  </si>
  <si>
    <t>&lt;tensorflow.python.keras.optimizer_v2.adam.Adam object at 0x7fc51c5a7940&gt;</t>
  </si>
  <si>
    <t>&lt;tensorflow.python.keras.optimizer_v2.adam.Adam object at 0x7fc51c5a7dd8&gt;</t>
  </si>
  <si>
    <t>&lt;tensorflow.python.keras.optimizer_v2.adam.Adam object at 0x7fc51c5a7cc0&gt;</t>
  </si>
  <si>
    <t>&lt;tensorflow.python.keras.optimizer_v2.adam.Adam object at 0x7fc498942208&gt;</t>
  </si>
  <si>
    <t>&lt;tensorflow.python.keras.optimizer_v2.gradient_descent.SGD object at 0x7fc4989422e8&gt;</t>
  </si>
  <si>
    <t>&lt;tensorflow.python.keras.optimizer_v2.gradient_descent.SGD object at 0x7fc4989423c8&gt;</t>
  </si>
  <si>
    <t>&lt;tensorflow.python.keras.optimizer_v2.gradient_descent.SGD object at 0x7fc4989424e0&gt;</t>
  </si>
  <si>
    <t>&lt;tensorflow.python.keras.optimizer_v2.gradient_descent.SGD object at 0x7fc4989425f8&gt;</t>
  </si>
  <si>
    <t>&lt;tensorflow.python.keras.optimizer_v2.gradient_descent.SGD object at 0x7fc498942710&gt;</t>
  </si>
  <si>
    <t>&lt;tensorflow.python.keras.optimizer_v2.gradient_descent.SGD object at 0x7fc498942828&gt;</t>
  </si>
  <si>
    <t>&lt;tensorflow.python.keras.optimizer_v2.adam.Adam object at 0x7f82122713c8&gt;</t>
  </si>
  <si>
    <t>&lt;tensorflow.python.keras.optimizer_v2.adam.Adam object at 0x7f81e6e3cb00&gt;</t>
  </si>
  <si>
    <t>&lt;tensorflow.python.keras.optimizer_v2.adam.Adam object at 0x7f81e6e3cef0&gt;</t>
  </si>
  <si>
    <t>&lt;tensorflow.python.keras.optimizer_v2.adam.Adam object at 0x7f81e6e3cf28&gt;</t>
  </si>
  <si>
    <t>&lt;tensorflow.python.keras.optimizer_v2.adam.Adam object at 0x7f82691fc828&gt;</t>
  </si>
  <si>
    <t>&lt;tensorflow.python.keras.optimizer_v2.adam.Adam object at 0x7f82691fccc0&gt;</t>
  </si>
  <si>
    <t>&lt;tensorflow.python.keras.optimizer_v2.gradient_descent.SGD object at 0x7f82691fcdd8&gt;</t>
  </si>
  <si>
    <t>&lt;tensorflow.python.keras.optimizer_v2.gradient_descent.SGD object at 0x7f82691fcbe0&gt;</t>
  </si>
  <si>
    <t>&lt;tensorflow.python.keras.optimizer_v2.gradient_descent.SGD object at 0x7f82691fc908&gt;</t>
  </si>
  <si>
    <t>&lt;tensorflow.python.keras.optimizer_v2.gradient_descent.SGD object at 0x7f82691fce48&gt;</t>
  </si>
  <si>
    <t>&lt;tensorflow.python.keras.optimizer_v2.gradient_descent.SGD object at 0x7f81e6d8b160&gt;</t>
  </si>
  <si>
    <t>&lt;tensorflow.python.keras.optimizer_v2.gradient_descent.SGD object at 0x7f81e6d8b278&gt;</t>
  </si>
  <si>
    <t>&lt;tensorflow.python.keras.optimizer_v2.adam.Adam object at 0x7f81e6d8b390&gt;</t>
  </si>
  <si>
    <t>&lt;tensorflow.python.keras.optimizer_v2.adam.Adam object at 0x7f81e6d8b4a8&gt;</t>
  </si>
  <si>
    <t>&lt;tensorflow.python.keras.optimizer_v2.adam.Adam object at 0x7f81e6d8b5c0&gt;</t>
  </si>
  <si>
    <t>&lt;tensorflow.python.keras.optimizer_v2.adam.Adam object at 0x7f81e6d8b6a0&gt;</t>
  </si>
  <si>
    <t>&lt;tensorflow.python.keras.optimizer_v2.adam.Adam object at 0x7f81e6d8b780&gt;</t>
  </si>
  <si>
    <t>&lt;tensorflow.python.keras.optimizer_v2.adam.Adam object at 0x7f81e6d8b860&gt;</t>
  </si>
  <si>
    <t>&lt;tensorflow.python.keras.optimizer_v2.gradient_descent.SGD object at 0x7f81e6d8b940&gt;</t>
  </si>
  <si>
    <t>&lt;tensorflow.python.keras.optimizer_v2.gradient_descent.SGD object at 0x7f81e6d8ba20&gt;</t>
  </si>
  <si>
    <t>&lt;tensorflow.python.keras.optimizer_v2.gradient_descent.SGD object at 0x7f81e6d8bb00&gt;</t>
  </si>
  <si>
    <t>&lt;tensorflow.python.keras.optimizer_v2.gradient_descent.SGD object at 0x7f81e6d8bc18&gt;</t>
  </si>
  <si>
    <t>&lt;tensorflow.python.keras.optimizer_v2.gradient_descent.SGD object at 0x7f81e6d8bd30&gt;</t>
  </si>
  <si>
    <t>&lt;tensorflow.python.keras.optimizer_v2.gradient_descent.SGD object at 0x7f81e6d8be48&gt;</t>
  </si>
  <si>
    <t>&lt;tensorflow.python.keras.optimizer_v2.adam.Adam object at 0x7f81e6d8bf60&gt;</t>
  </si>
  <si>
    <t>&lt;tensorflow.python.keras.optimizer_v2.adam.Adam object at 0x7f81e6d8b0f0&gt;</t>
  </si>
  <si>
    <t>&lt;tensorflow.python.keras.optimizer_v2.adam.Adam object at 0x7f81e6d8a1d0&gt;</t>
  </si>
  <si>
    <t>&lt;tensorflow.python.keras.optimizer_v2.adam.Adam object at 0x7f81e6d8a2b0&gt;</t>
  </si>
  <si>
    <t>&lt;tensorflow.python.keras.optimizer_v2.adam.Adam object at 0x7f81e6d8a390&gt;</t>
  </si>
  <si>
    <t>&lt;tensorflow.python.keras.optimizer_v2.adam.Adam object at 0x7f81e6d8a470&gt;</t>
  </si>
  <si>
    <t>&lt;tensorflow.python.keras.optimizer_v2.gradient_descent.SGD object at 0x7f81e6d8a550&gt;</t>
  </si>
  <si>
    <t>&lt;tensorflow.python.keras.optimizer_v2.gradient_descent.SGD object at 0x7f81e6d8a630&gt;</t>
  </si>
  <si>
    <t>&lt;tensorflow.python.keras.optimizer_v2.gradient_descent.SGD object at 0x7f81e6d8a710&gt;</t>
  </si>
  <si>
    <t>&lt;tensorflow.python.keras.optimizer_v2.gradient_descent.SGD object at 0x7f81e6d8a828&gt;</t>
  </si>
  <si>
    <t>&lt;tensorflow.python.keras.optimizer_v2.gradient_descent.SGD object at 0x7f81e6d8a940&gt;</t>
  </si>
  <si>
    <t>&lt;tensorflow.python.keras.optimizer_v2.gradient_descent.SGD object at 0x7f81e6d8aa58&gt;</t>
  </si>
  <si>
    <t>&lt;tensorflow.python.keras.optimizer_v2.adam.Adam object at 0x7fec7a19f748&gt;</t>
  </si>
  <si>
    <t>Extra_filt</t>
  </si>
  <si>
    <t>&lt;tensorflow.python.keras.optimizer_v2.adam.Adam object at 0x7fec7a146eb8&gt;</t>
  </si>
  <si>
    <t>&lt;tensorflow.python.keras.optimizer_v2.adam.Adam object at 0x7fec7a146780&gt;</t>
  </si>
  <si>
    <t>&lt;tensorflow.python.keras.optimizer_v2.adam.Adam object at 0x7fec7a1466d8&gt;</t>
  </si>
  <si>
    <t>&lt;tensorflow.python.keras.optimizer_v2.adam.Adam object at 0x7fec7a146518&gt;</t>
  </si>
  <si>
    <t>&lt;tensorflow.python.keras.optimizer_v2.adam.Adam object at 0x7fec7a146550&gt;</t>
  </si>
  <si>
    <t>&lt;tensorflow.python.keras.optimizer_v2.gradient_descent.SGD object at 0x7fec7a146dd8&gt;</t>
  </si>
  <si>
    <t>&lt;tensorflow.python.keras.optimizer_v2.gradient_descent.SGD object at 0x7fec7a146ac8&gt;</t>
  </si>
  <si>
    <t>&lt;tensorflow.python.keras.optimizer_v2.gradient_descent.SGD object at 0x7fec7a146cf8&gt;</t>
  </si>
  <si>
    <t>&lt;tensorflow.python.keras.optimizer_v2.gradient_descent.SGD object at 0x7fec7a1469b0&gt;</t>
  </si>
  <si>
    <t>&lt;tensorflow.python.keras.optimizer_v2.gradient_descent.SGD object at 0x7fec7a146710&gt;</t>
  </si>
  <si>
    <t>&lt;tensorflow.python.keras.optimizer_v2.gradient_descent.SGD object at 0x7fec7a110208&gt;</t>
  </si>
  <si>
    <t>&lt;tensorflow.python.keras.optimizer_v2.adam.Adam object at 0x7fec7a110320&gt;</t>
  </si>
  <si>
    <t>&lt;tensorflow.python.keras.optimizer_v2.adam.Adam object at 0x7fec7a110438&gt;</t>
  </si>
  <si>
    <t>&lt;tensorflow.python.keras.optimizer_v2.adam.Adam object at 0x7fec7a110550&gt;</t>
  </si>
  <si>
    <t>&lt;tensorflow.python.keras.optimizer_v2.adam.Adam object at 0x7fec7a110630&gt;</t>
  </si>
  <si>
    <t>&lt;tensorflow.python.keras.optimizer_v2.adam.Adam object at 0x7fec7a110710&gt;</t>
  </si>
  <si>
    <t>&lt;tensorflow.python.keras.optimizer_v2.adam.Adam object at 0x7fec7a1107f0&gt;</t>
  </si>
  <si>
    <t>&lt;tensorflow.python.keras.optimizer_v2.gradient_descent.SGD object at 0x7fec7a1108d0&gt;</t>
  </si>
  <si>
    <t>&lt;tensorflow.python.keras.optimizer_v2.gradient_descent.SGD object at 0x7fec7a1109b0&gt;</t>
  </si>
  <si>
    <t>&lt;tensorflow.python.keras.optimizer_v2.gradient_descent.SGD object at 0x7fec7a110a90&gt;</t>
  </si>
  <si>
    <t>&lt;tensorflow.python.keras.optimizer_v2.gradient_descent.SGD object at 0x7fec7a110ba8&gt;</t>
  </si>
  <si>
    <t>&lt;tensorflow.python.keras.optimizer_v2.gradient_descent.SGD object at 0x7fec7a110cc0&gt;</t>
  </si>
  <si>
    <t>&lt;tensorflow.python.keras.optimizer_v2.gradient_descent.SGD object at 0x7fec7a110dd8&gt;</t>
  </si>
  <si>
    <t>&lt;tensorflow.python.keras.optimizer_v2.adam.Adam object at 0x7fec7a110ef0&gt;</t>
  </si>
  <si>
    <t>&lt;tensorflow.python.keras.optimizer_v2.adam.Adam object at 0x7fec7a110198&gt;</t>
  </si>
  <si>
    <t>&lt;tensorflow.python.keras.optimizer_v2.adam.Adam object at 0x7fec7a0ee160&gt;</t>
  </si>
  <si>
    <t>&lt;tensorflow.python.keras.optimizer_v2.adam.Adam object at 0x7fec7a0ee240&gt;</t>
  </si>
  <si>
    <t>&lt;tensorflow.python.keras.optimizer_v2.adam.Adam object at 0x7fec7a0ee320&gt;</t>
  </si>
  <si>
    <t>&lt;tensorflow.python.keras.optimizer_v2.adam.Adam object at 0x7fec7a0ee400&gt;</t>
  </si>
  <si>
    <t>&lt;tensorflow.python.keras.optimizer_v2.gradient_descent.SGD object at 0x7fec7a0ee4e0&gt;</t>
  </si>
  <si>
    <t>&lt;tensorflow.python.keras.optimizer_v2.gradient_descent.SGD object at 0x7fec7a0ee5c0&gt;</t>
  </si>
  <si>
    <t>&lt;tensorflow.python.keras.optimizer_v2.gradient_descent.SGD object at 0x7fec7a0ee6a0&gt;</t>
  </si>
  <si>
    <t>&lt;tensorflow.python.keras.optimizer_v2.gradient_descent.SGD object at 0x7fec7a0ee7b8&gt;</t>
  </si>
  <si>
    <t>&lt;tensorflow.python.keras.optimizer_v2.gradient_descent.SGD object at 0x7fec7a0ee8d0&gt;</t>
  </si>
  <si>
    <t>&lt;tensorflow.python.keras.optimizer_v2.gradient_descent.SGD object at 0x7fec7a0ee9e8&gt;</t>
  </si>
  <si>
    <t>Optimizer2</t>
  </si>
  <si>
    <t>Test_RMSE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</si>
</sst>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1" fontId="0" fillId="0" borderId="0" xfId="0" applyNumberFormat="1"/>
    <xf numFmtId="0" fontId="0" fillId="33" borderId="0" xfId="0" applyFill="1"/>
    <xf numFmtId="1" fontId="0" fillId="33" borderId="0" xfId="0" applyNumberFormat="1" applyFill="1"/>
    <xf numFmtId="2" fontId="0" fillId="33" borderId="0" xfId="0" applyNumberFormat="1" applyFill="1"/>
    <xf numFmtId="0" fontId="0" fillId="0" borderId="0" xfId="0" applyFill="1"/>
    <xf numFmtId="1" fontId="0" fillId="0" borderId="0" xfId="0" applyNumberFormat="1" applyFill="1"/>
    <xf numFmtId="2" fontId="0" fillId="0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Base_LR0.1_OPT.keras.optimizer_v2.gradient_descent.SGD_BASZ8_WD544.jpg" TargetMode="External"/><Relationship Id="rId3" Type="http://schemas.openxmlformats.org/officeDocument/2006/relationships/image" Target="file:///D:\Master%20AEPIA\1er%20a&#241;o\6.%20Deep%20learning\Trabajo\all\Base_LR0.1_OPT.keras.optimizer_v2.adam.Adam_BASZ16_WD544.jpg" TargetMode="External"/><Relationship Id="rId7" Type="http://schemas.openxmlformats.org/officeDocument/2006/relationships/image" Target="file:///D:\Master%20AEPIA\1er%20a&#241;o\6.%20Deep%20learning\Trabajo\all\Base_LR0.1_OPT.keras.optimizer_v2.gradient_descent.SGD_BASZ4_WD544.jpg" TargetMode="External"/><Relationship Id="rId12" Type="http://schemas.openxmlformats.org/officeDocument/2006/relationships/image" Target="file:///D:\Master%20AEPIA\1er%20a&#241;o\6.%20Deep%20learning\Trabajo\all\Base_LR0.1_OPT.keras.optimizer_v2.gradient_descent.SGD_BASZ16_WD362.jpg" TargetMode="External"/><Relationship Id="rId2" Type="http://schemas.openxmlformats.org/officeDocument/2006/relationships/image" Target="file:///D:\Master%20AEPIA\1er%20a&#241;o\6.%20Deep%20learning\Trabajo\all\Base_LR0.1_OPT.keras.optimizer_v2.adam.Adam_BASZ8_WD544.jpg" TargetMode="External"/><Relationship Id="rId1" Type="http://schemas.openxmlformats.org/officeDocument/2006/relationships/image" Target="file:///D:\Master%20AEPIA\1er%20a&#241;o\6.%20Deep%20learning\Trabajo\all\Base_LR0.1_OPT.keras.optimizer_v2.adam.Adam_BASZ4_WD544.jpg" TargetMode="External"/><Relationship Id="rId6" Type="http://schemas.openxmlformats.org/officeDocument/2006/relationships/image" Target="file:///D:\Master%20AEPIA\1er%20a&#241;o\6.%20Deep%20learning\Trabajo\all\Base_LR0.1_OPT.keras.optimizer_v2.adam.Adam_BASZ16_WD362.jpg" TargetMode="External"/><Relationship Id="rId11" Type="http://schemas.openxmlformats.org/officeDocument/2006/relationships/image" Target="file:///D:\Master%20AEPIA\1er%20a&#241;o\6.%20Deep%20learning\Trabajo\all\Base_LR0.1_OPT.keras.optimizer_v2.gradient_descent.SGD_BASZ8_WD362.jpg" TargetMode="External"/><Relationship Id="rId5" Type="http://schemas.openxmlformats.org/officeDocument/2006/relationships/image" Target="file:///D:\Master%20AEPIA\1er%20a&#241;o\6.%20Deep%20learning\Trabajo\all\Base_LR0.1_OPT.keras.optimizer_v2.adam.Adam_BASZ8_WD362.jpg" TargetMode="External"/><Relationship Id="rId10" Type="http://schemas.openxmlformats.org/officeDocument/2006/relationships/image" Target="file:///D:\Master%20AEPIA\1er%20a&#241;o\6.%20Deep%20learning\Trabajo\all\Base_LR0.1_OPT.keras.optimizer_v2.gradient_descent.SGD_BASZ4_WD362.jpg" TargetMode="External"/><Relationship Id="rId4" Type="http://schemas.openxmlformats.org/officeDocument/2006/relationships/image" Target="file:///D:\Master%20AEPIA\1er%20a&#241;o\6.%20Deep%20learning\Trabajo\all\Base_LR0.1_OPT.keras.optimizer_v2.adam.Adam_BASZ4_WD362.jpg" TargetMode="External"/><Relationship Id="rId9" Type="http://schemas.openxmlformats.org/officeDocument/2006/relationships/image" Target="file:///D:\Master%20AEPIA\1er%20a&#241;o\6.%20Deep%20learning\Trabajo\all\Base_LR0.1_OPT.keras.optimizer_v2.gradient_descent.SGD_BASZ16_WD544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Base_LR0.01_OPT.keras.optimizer_v2.gradient_descent.SGD_BASZ8_WD544.jpg" TargetMode="External"/><Relationship Id="rId3" Type="http://schemas.openxmlformats.org/officeDocument/2006/relationships/image" Target="file:///D:\Master%20AEPIA\1er%20a&#241;o\6.%20Deep%20learning\Trabajo\all\Base_LR0.01_OPT.keras.optimizer_v2.adam.Adam_BASZ16_WD544.jpg" TargetMode="External"/><Relationship Id="rId7" Type="http://schemas.openxmlformats.org/officeDocument/2006/relationships/image" Target="file:///D:\Master%20AEPIA\1er%20a&#241;o\6.%20Deep%20learning\Trabajo\all\Base_LR0.01_OPT.keras.optimizer_v2.gradient_descent.SGD_BASZ4_WD544.jpg" TargetMode="External"/><Relationship Id="rId12" Type="http://schemas.openxmlformats.org/officeDocument/2006/relationships/image" Target="file:///D:\Master%20AEPIA\1er%20a&#241;o\6.%20Deep%20learning\Trabajo\all\Base_LR0.01_OPT.keras.optimizer_v2.gradient_descent.SGD_BASZ16_WD362.jpg" TargetMode="External"/><Relationship Id="rId2" Type="http://schemas.openxmlformats.org/officeDocument/2006/relationships/image" Target="file:///D:\Master%20AEPIA\1er%20a&#241;o\6.%20Deep%20learning\Trabajo\all\Base_LR0.01_OPT.keras.optimizer_v2.adam.Adam_BASZ8_WD544.jpg" TargetMode="External"/><Relationship Id="rId1" Type="http://schemas.openxmlformats.org/officeDocument/2006/relationships/image" Target="file:///D:\Master%20AEPIA\1er%20a&#241;o\6.%20Deep%20learning\Trabajo\all\Base_LR0.01_OPT.keras.optimizer_v2.adam.Adam_BASZ4_WD544.jpg" TargetMode="External"/><Relationship Id="rId6" Type="http://schemas.openxmlformats.org/officeDocument/2006/relationships/image" Target="file:///D:\Master%20AEPIA\1er%20a&#241;o\6.%20Deep%20learning\Trabajo\all\Base_LR0.01_OPT.keras.optimizer_v2.adam.Adam_BASZ16_WD362.jpg" TargetMode="External"/><Relationship Id="rId11" Type="http://schemas.openxmlformats.org/officeDocument/2006/relationships/image" Target="file:///D:\Master%20AEPIA\1er%20a&#241;o\6.%20Deep%20learning\Trabajo\all\Base_LR0.01_OPT.keras.optimizer_v2.gradient_descent.SGD_BASZ8_WD362.jpg" TargetMode="External"/><Relationship Id="rId5" Type="http://schemas.openxmlformats.org/officeDocument/2006/relationships/image" Target="file:///D:\Master%20AEPIA\1er%20a&#241;o\6.%20Deep%20learning\Trabajo\all\Base_LR0.01_OPT.keras.optimizer_v2.adam.Adam_BASZ8_WD362.jpg" TargetMode="External"/><Relationship Id="rId10" Type="http://schemas.openxmlformats.org/officeDocument/2006/relationships/image" Target="file:///D:\Master%20AEPIA\1er%20a&#241;o\6.%20Deep%20learning\Trabajo\all\Base_LR0.01_OPT.keras.optimizer_v2.gradient_descent.SGD_BASZ4_WD362.jpg" TargetMode="External"/><Relationship Id="rId4" Type="http://schemas.openxmlformats.org/officeDocument/2006/relationships/image" Target="file:///D:\Master%20AEPIA\1er%20a&#241;o\6.%20Deep%20learning\Trabajo\all\Base_LR0.01_OPT.keras.optimizer_v2.adam.Adam_BASZ4_WD362.jpg" TargetMode="External"/><Relationship Id="rId9" Type="http://schemas.openxmlformats.org/officeDocument/2006/relationships/image" Target="file:///D:\Master%20AEPIA\1er%20a&#241;o\6.%20Deep%20learning\Trabajo\all\Base_LR0.01_OPT.keras.optimizer_v2.gradient_descent.SGD_BASZ16_WD544.jpg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Base_LR0.001_OPT.keras.optimizer_v2.gradient_descent.SGD_BASZ8_WD544.jpg" TargetMode="External"/><Relationship Id="rId3" Type="http://schemas.openxmlformats.org/officeDocument/2006/relationships/image" Target="file:///D:\Master%20AEPIA\1er%20a&#241;o\6.%20Deep%20learning\Trabajo\all\Base_LR0.001_OPT.keras.optimizer_v2.adam.Adam_BASZ16_WD544.jpg" TargetMode="External"/><Relationship Id="rId7" Type="http://schemas.openxmlformats.org/officeDocument/2006/relationships/image" Target="file:///D:\Master%20AEPIA\1er%20a&#241;o\6.%20Deep%20learning\Trabajo\all\Base_LR0.001_OPT.keras.optimizer_v2.gradient_descent.SGD_BASZ4_WD544.jpg" TargetMode="External"/><Relationship Id="rId12" Type="http://schemas.openxmlformats.org/officeDocument/2006/relationships/image" Target="file:///D:\Master%20AEPIA\1er%20a&#241;o\6.%20Deep%20learning\Trabajo\all\Base_LR0.001_OPT.keras.optimizer_v2.gradient_descent.SGD_BASZ16_WD362.jpg" TargetMode="External"/><Relationship Id="rId2" Type="http://schemas.openxmlformats.org/officeDocument/2006/relationships/image" Target="file:///D:\Master%20AEPIA\1er%20a&#241;o\6.%20Deep%20learning\Trabajo\all\Base_LR0.001_OPT.keras.optimizer_v2.adam.Adam_BASZ8_WD544.jpg" TargetMode="External"/><Relationship Id="rId1" Type="http://schemas.openxmlformats.org/officeDocument/2006/relationships/image" Target="file:///D:\Master%20AEPIA\1er%20a&#241;o\6.%20Deep%20learning\Trabajo\all\Base_LR0.001_OPT.keras.optimizer_v2.adam.Adam_BASZ4_WD544.jpg" TargetMode="External"/><Relationship Id="rId6" Type="http://schemas.openxmlformats.org/officeDocument/2006/relationships/image" Target="file:///D:\Master%20AEPIA\1er%20a&#241;o\6.%20Deep%20learning\Trabajo\all\Base_LR0.001_OPT.keras.optimizer_v2.adam.Adam_BASZ16_WD362.jpg" TargetMode="External"/><Relationship Id="rId11" Type="http://schemas.openxmlformats.org/officeDocument/2006/relationships/image" Target="file:///D:\Master%20AEPIA\1er%20a&#241;o\6.%20Deep%20learning\Trabajo\all\Base_LR0.001_OPT.keras.optimizer_v2.gradient_descent.SGD_BASZ8_WD362.jpg" TargetMode="External"/><Relationship Id="rId5" Type="http://schemas.openxmlformats.org/officeDocument/2006/relationships/image" Target="file:///D:\Master%20AEPIA\1er%20a&#241;o\6.%20Deep%20learning\Trabajo\all\Base_LR0.001_OPT.keras.optimizer_v2.adam.Adam_BASZ8_WD362.jpg" TargetMode="External"/><Relationship Id="rId10" Type="http://schemas.openxmlformats.org/officeDocument/2006/relationships/image" Target="file:///D:\Master%20AEPIA\1er%20a&#241;o\6.%20Deep%20learning\Trabajo\all\Base_LR0.001_OPT.keras.optimizer_v2.gradient_descent.SGD_BASZ4_WD362.jpg" TargetMode="External"/><Relationship Id="rId4" Type="http://schemas.openxmlformats.org/officeDocument/2006/relationships/image" Target="file:///D:\Master%20AEPIA\1er%20a&#241;o\6.%20Deep%20learning\Trabajo\all\Base_LR0.001_OPT.keras.optimizer_v2.adam.Adam_BASZ4_WD362.jpg" TargetMode="External"/><Relationship Id="rId9" Type="http://schemas.openxmlformats.org/officeDocument/2006/relationships/image" Target="file:///D:\Master%20AEPIA\1er%20a&#241;o\6.%20Deep%20learning\Trabajo\all\Base_LR0.001_OPT.keras.optimizer_v2.gradient_descent.SGD_BASZ16_WD544.jpg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Extra_LR0.1_OPT.keras.optimizer_v2.gradient_descent.SGD_BASZ8_WD544.jpg" TargetMode="External"/><Relationship Id="rId3" Type="http://schemas.openxmlformats.org/officeDocument/2006/relationships/image" Target="file:///D:\Master%20AEPIA\1er%20a&#241;o\6.%20Deep%20learning\Trabajo\all\Extra_LR0.1_OPT.keras.optimizer_v2.adam.Adam_BASZ16_WD544.jpg" TargetMode="External"/><Relationship Id="rId7" Type="http://schemas.openxmlformats.org/officeDocument/2006/relationships/image" Target="file:///D:\Master%20AEPIA\1er%20a&#241;o\6.%20Deep%20learning\Trabajo\all\Extra_LR0.1_OPT.keras.optimizer_v2.gradient_descent.SGD_BASZ4_WD544.jpg" TargetMode="External"/><Relationship Id="rId12" Type="http://schemas.openxmlformats.org/officeDocument/2006/relationships/image" Target="file:///D:\Master%20AEPIA\1er%20a&#241;o\6.%20Deep%20learning\Trabajo\all\Extra_LR0.1_OPT.keras.optimizer_v2.gradient_descent.SGD_BASZ16_WD362.jpg" TargetMode="External"/><Relationship Id="rId2" Type="http://schemas.openxmlformats.org/officeDocument/2006/relationships/image" Target="file:///D:\Master%20AEPIA\1er%20a&#241;o\6.%20Deep%20learning\Trabajo\all\Extra_LR0.1_OPT.keras.optimizer_v2.adam.Adam_BASZ8_WD544.jpg" TargetMode="External"/><Relationship Id="rId1" Type="http://schemas.openxmlformats.org/officeDocument/2006/relationships/image" Target="file:///D:\Master%20AEPIA\1er%20a&#241;o\6.%20Deep%20learning\Trabajo\all\Extra_LR0.1_OPT.keras.optimizer_v2.adam.Adam_BASZ4_WD544.jpg" TargetMode="External"/><Relationship Id="rId6" Type="http://schemas.openxmlformats.org/officeDocument/2006/relationships/image" Target="file:///D:\Master%20AEPIA\1er%20a&#241;o\6.%20Deep%20learning\Trabajo\all\Extra_LR0.1_OPT.keras.optimizer_v2.adam.Adam_BASZ16_WD362.jpg" TargetMode="External"/><Relationship Id="rId11" Type="http://schemas.openxmlformats.org/officeDocument/2006/relationships/image" Target="file:///D:\Master%20AEPIA\1er%20a&#241;o\6.%20Deep%20learning\Trabajo\all\Extra_LR0.1_OPT.keras.optimizer_v2.gradient_descent.SGD_BASZ8_WD362.jpg" TargetMode="External"/><Relationship Id="rId5" Type="http://schemas.openxmlformats.org/officeDocument/2006/relationships/image" Target="file:///D:\Master%20AEPIA\1er%20a&#241;o\6.%20Deep%20learning\Trabajo\all\Extra_LR0.1_OPT.keras.optimizer_v2.adam.Adam_BASZ8_WD362.jpg" TargetMode="External"/><Relationship Id="rId10" Type="http://schemas.openxmlformats.org/officeDocument/2006/relationships/image" Target="file:///D:\Master%20AEPIA\1er%20a&#241;o\6.%20Deep%20learning\Trabajo\all\Extra_LR0.1_OPT.keras.optimizer_v2.gradient_descent.SGD_BASZ4_WD362.jpg" TargetMode="External"/><Relationship Id="rId4" Type="http://schemas.openxmlformats.org/officeDocument/2006/relationships/image" Target="file:///D:\Master%20AEPIA\1er%20a&#241;o\6.%20Deep%20learning\Trabajo\all\Extra_LR0.1_OPT.keras.optimizer_v2.adam.Adam_BASZ4_WD362.jpg" TargetMode="External"/><Relationship Id="rId9" Type="http://schemas.openxmlformats.org/officeDocument/2006/relationships/image" Target="file:///D:\Master%20AEPIA\1er%20a&#241;o\6.%20Deep%20learning\Trabajo\all\Extra_LR0.1_OPT.keras.optimizer_v2.gradient_descent.SGD_BASZ16_WD544.jpg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Extra_LR0.01_OPT.keras.optimizer_v2.gradient_descent.SGD_BASZ8_WD544.jpg" TargetMode="External"/><Relationship Id="rId3" Type="http://schemas.openxmlformats.org/officeDocument/2006/relationships/image" Target="file:///D:\Master%20AEPIA\1er%20a&#241;o\6.%20Deep%20learning\Trabajo\all\Extra_LR0.01_OPT.keras.optimizer_v2.adam.Adam_BASZ16_WD544.jpg" TargetMode="External"/><Relationship Id="rId7" Type="http://schemas.openxmlformats.org/officeDocument/2006/relationships/image" Target="file:///D:\Master%20AEPIA\1er%20a&#241;o\6.%20Deep%20learning\Trabajo\all\Extra_LR0.01_OPT.keras.optimizer_v2.gradient_descent.SGD_BASZ4_WD544.jpg" TargetMode="External"/><Relationship Id="rId12" Type="http://schemas.openxmlformats.org/officeDocument/2006/relationships/image" Target="file:///D:\Master%20AEPIA\1er%20a&#241;o\6.%20Deep%20learning\Trabajo\all\Extra_LR0.01_OPT.keras.optimizer_v2.gradient_descent.SGD_BASZ16_WD362.jpg" TargetMode="External"/><Relationship Id="rId2" Type="http://schemas.openxmlformats.org/officeDocument/2006/relationships/image" Target="file:///D:\Master%20AEPIA\1er%20a&#241;o\6.%20Deep%20learning\Trabajo\all\Extra_LR0.01_OPT.keras.optimizer_v2.adam.Adam_BASZ8_WD544.jpg" TargetMode="External"/><Relationship Id="rId1" Type="http://schemas.openxmlformats.org/officeDocument/2006/relationships/image" Target="file:///D:\Master%20AEPIA\1er%20a&#241;o\6.%20Deep%20learning\Trabajo\all\Extra_LR0.01_OPT.keras.optimizer_v2.adam.Adam_BASZ4_WD544.jpg" TargetMode="External"/><Relationship Id="rId6" Type="http://schemas.openxmlformats.org/officeDocument/2006/relationships/image" Target="file:///D:\Master%20AEPIA\1er%20a&#241;o\6.%20Deep%20learning\Trabajo\all\Extra_LR0.01_OPT.keras.optimizer_v2.adam.Adam_BASZ16_WD362.jpg" TargetMode="External"/><Relationship Id="rId11" Type="http://schemas.openxmlformats.org/officeDocument/2006/relationships/image" Target="file:///D:\Master%20AEPIA\1er%20a&#241;o\6.%20Deep%20learning\Trabajo\all\Extra_LR0.01_OPT.keras.optimizer_v2.gradient_descent.SGD_BASZ8_WD362.jpg" TargetMode="External"/><Relationship Id="rId5" Type="http://schemas.openxmlformats.org/officeDocument/2006/relationships/image" Target="file:///D:\Master%20AEPIA\1er%20a&#241;o\6.%20Deep%20learning\Trabajo\all\Extra_LR0.01_OPT.keras.optimizer_v2.adam.Adam_BASZ8_WD362.jpg" TargetMode="External"/><Relationship Id="rId10" Type="http://schemas.openxmlformats.org/officeDocument/2006/relationships/image" Target="file:///D:\Master%20AEPIA\1er%20a&#241;o\6.%20Deep%20learning\Trabajo\all\Extra_LR0.01_OPT.keras.optimizer_v2.gradient_descent.SGD_BASZ4_WD362.jpg" TargetMode="External"/><Relationship Id="rId4" Type="http://schemas.openxmlformats.org/officeDocument/2006/relationships/image" Target="file:///D:\Master%20AEPIA\1er%20a&#241;o\6.%20Deep%20learning\Trabajo\all\Extra_LR0.01_OPT.keras.optimizer_v2.adam.Adam_BASZ4_WD362.jpg" TargetMode="External"/><Relationship Id="rId9" Type="http://schemas.openxmlformats.org/officeDocument/2006/relationships/image" Target="file:///D:\Master%20AEPIA\1er%20a&#241;o\6.%20Deep%20learning\Trabajo\all\Extra_LR0.01_OPT.keras.optimizer_v2.gradient_descent.SGD_BASZ16_WD544.jpg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Extra_LR0.001_OPT.keras.optimizer_v2.gradient_descent.SGD_BASZ8_WD544.jpg" TargetMode="External"/><Relationship Id="rId3" Type="http://schemas.openxmlformats.org/officeDocument/2006/relationships/image" Target="file:///D:\Master%20AEPIA\1er%20a&#241;o\6.%20Deep%20learning\Trabajo\all\Extra_LR0.001_OPT.keras.optimizer_v2.adam.Adam_BASZ16_WD544.jpg" TargetMode="External"/><Relationship Id="rId7" Type="http://schemas.openxmlformats.org/officeDocument/2006/relationships/image" Target="file:///D:\Master%20AEPIA\1er%20a&#241;o\6.%20Deep%20learning\Trabajo\all\Extra_LR0.001_OPT.keras.optimizer_v2.gradient_descent.SGD_BASZ4_WD544.jpg" TargetMode="External"/><Relationship Id="rId12" Type="http://schemas.openxmlformats.org/officeDocument/2006/relationships/image" Target="file:///D:\Master%20AEPIA\1er%20a&#241;o\6.%20Deep%20learning\Trabajo\all\Extra_LR0.001_OPT.keras.optimizer_v2.gradient_descent.SGD_BASZ16_WD362.jpg" TargetMode="External"/><Relationship Id="rId2" Type="http://schemas.openxmlformats.org/officeDocument/2006/relationships/image" Target="file:///D:\Master%20AEPIA\1er%20a&#241;o\6.%20Deep%20learning\Trabajo\all\Extra_LR0.001_OPT.keras.optimizer_v2.adam.Adam_BASZ8_WD544.jpg" TargetMode="External"/><Relationship Id="rId1" Type="http://schemas.openxmlformats.org/officeDocument/2006/relationships/image" Target="file:///D:\Master%20AEPIA\1er%20a&#241;o\6.%20Deep%20learning\Trabajo\all\Extra_LR0.001_OPT.keras.optimizer_v2.adam.Adam_BASZ4_WD544.jpg" TargetMode="External"/><Relationship Id="rId6" Type="http://schemas.openxmlformats.org/officeDocument/2006/relationships/image" Target="file:///D:\Master%20AEPIA\1er%20a&#241;o\6.%20Deep%20learning\Trabajo\all\Extra_LR0.001_OPT.keras.optimizer_v2.adam.Adam_BASZ16_WD362.jpg" TargetMode="External"/><Relationship Id="rId11" Type="http://schemas.openxmlformats.org/officeDocument/2006/relationships/image" Target="file:///D:\Master%20AEPIA\1er%20a&#241;o\6.%20Deep%20learning\Trabajo\all\Extra_LR0.001_OPT.keras.optimizer_v2.gradient_descent.SGD_BASZ8_WD362.jpg" TargetMode="External"/><Relationship Id="rId5" Type="http://schemas.openxmlformats.org/officeDocument/2006/relationships/image" Target="file:///D:\Master%20AEPIA\1er%20a&#241;o\6.%20Deep%20learning\Trabajo\all\Extra_LR0.001_OPT.keras.optimizer_v2.adam.Adam_BASZ8_WD362.jpg" TargetMode="External"/><Relationship Id="rId10" Type="http://schemas.openxmlformats.org/officeDocument/2006/relationships/image" Target="file:///D:\Master%20AEPIA\1er%20a&#241;o\6.%20Deep%20learning\Trabajo\all\Extra_LR0.001_OPT.keras.optimizer_v2.gradient_descent.SGD_BASZ4_WD362.jpg" TargetMode="External"/><Relationship Id="rId4" Type="http://schemas.openxmlformats.org/officeDocument/2006/relationships/image" Target="file:///D:\Master%20AEPIA\1er%20a&#241;o\6.%20Deep%20learning\Trabajo\all\Extra_LR0.001_OPT.keras.optimizer_v2.adam.Adam_BASZ4_WD362.jpg" TargetMode="External"/><Relationship Id="rId9" Type="http://schemas.openxmlformats.org/officeDocument/2006/relationships/image" Target="file:///D:\Master%20AEPIA\1er%20a&#241;o\6.%20Deep%20learning\Trabajo\all\Extra_LR0.001_OPT.keras.optimizer_v2.gradient_descent.SGD_BASZ16_WD544.jpg" TargetMode="Externa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Extra_filt_LR0.1_OPT.keras.optimizer_v2.gradient_descent.SGD_BASZ8_WD544.jpg" TargetMode="External"/><Relationship Id="rId3" Type="http://schemas.openxmlformats.org/officeDocument/2006/relationships/image" Target="file:///D:\Master%20AEPIA\1er%20a&#241;o\6.%20Deep%20learning\Trabajo\all\Extra_filt_LR0.1_OPT.keras.optimizer_v2.adam.Adam_BASZ16_WD544.jpg" TargetMode="External"/><Relationship Id="rId7" Type="http://schemas.openxmlformats.org/officeDocument/2006/relationships/image" Target="file:///D:\Master%20AEPIA\1er%20a&#241;o\6.%20Deep%20learning\Trabajo\all\Extra_filt_LR0.1_OPT.keras.optimizer_v2.gradient_descent.SGD_BASZ4_WD544.jpg" TargetMode="External"/><Relationship Id="rId12" Type="http://schemas.openxmlformats.org/officeDocument/2006/relationships/image" Target="file:///D:\Master%20AEPIA\1er%20a&#241;o\6.%20Deep%20learning\Trabajo\all\Extra_filt_LR0.1_OPT.keras.optimizer_v2.gradient_descent.SGD_BASZ16_WD362.jpg" TargetMode="External"/><Relationship Id="rId2" Type="http://schemas.openxmlformats.org/officeDocument/2006/relationships/image" Target="file:///D:\Master%20AEPIA\1er%20a&#241;o\6.%20Deep%20learning\Trabajo\all\Extra_filt_LR0.1_OPT.keras.optimizer_v2.adam.Adam_BASZ8_WD544.jpg" TargetMode="External"/><Relationship Id="rId1" Type="http://schemas.openxmlformats.org/officeDocument/2006/relationships/image" Target="file:///D:\Master%20AEPIA\1er%20a&#241;o\6.%20Deep%20learning\Trabajo\all\Extra_filt_LR0.1_OPT.keras.optimizer_v2.adam.Adam_BASZ4_WD544.jpg" TargetMode="External"/><Relationship Id="rId6" Type="http://schemas.openxmlformats.org/officeDocument/2006/relationships/image" Target="file:///D:\Master%20AEPIA\1er%20a&#241;o\6.%20Deep%20learning\Trabajo\all\Extra_filt_LR0.1_OPT.keras.optimizer_v2.adam.Adam_BASZ16_WD362.jpg" TargetMode="External"/><Relationship Id="rId11" Type="http://schemas.openxmlformats.org/officeDocument/2006/relationships/image" Target="file:///D:\Master%20AEPIA\1er%20a&#241;o\6.%20Deep%20learning\Trabajo\all\Extra_filt_LR0.1_OPT.keras.optimizer_v2.gradient_descent.SGD_BASZ8_WD362.jpg" TargetMode="External"/><Relationship Id="rId5" Type="http://schemas.openxmlformats.org/officeDocument/2006/relationships/image" Target="file:///D:\Master%20AEPIA\1er%20a&#241;o\6.%20Deep%20learning\Trabajo\all\Extra_filt_LR0.1_OPT.keras.optimizer_v2.adam.Adam_BASZ8_WD362.jpg" TargetMode="External"/><Relationship Id="rId10" Type="http://schemas.openxmlformats.org/officeDocument/2006/relationships/image" Target="file:///D:\Master%20AEPIA\1er%20a&#241;o\6.%20Deep%20learning\Trabajo\all\Extra_filt_LR0.1_OPT.keras.optimizer_v2.gradient_descent.SGD_BASZ4_WD362.jpg" TargetMode="External"/><Relationship Id="rId4" Type="http://schemas.openxmlformats.org/officeDocument/2006/relationships/image" Target="file:///D:\Master%20AEPIA\1er%20a&#241;o\6.%20Deep%20learning\Trabajo\all\Extra_filt_LR0.1_OPT.keras.optimizer_v2.adam.Adam_BASZ4_WD362.jpg" TargetMode="External"/><Relationship Id="rId9" Type="http://schemas.openxmlformats.org/officeDocument/2006/relationships/image" Target="file:///D:\Master%20AEPIA\1er%20a&#241;o\6.%20Deep%20learning\Trabajo\all\Extra_filt_LR0.1_OPT.keras.optimizer_v2.gradient_descent.SGD_BASZ16_WD544.jpg" TargetMode="Externa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Extra_filt_LR0.01_OPT.keras.optimizer_v2.gradient_descent.SGD_BASZ8_WD544.jpg" TargetMode="External"/><Relationship Id="rId3" Type="http://schemas.openxmlformats.org/officeDocument/2006/relationships/image" Target="file:///D:\Master%20AEPIA\1er%20a&#241;o\6.%20Deep%20learning\Trabajo\all\Extra_filt_LR0.01_OPT.keras.optimizer_v2.adam.Adam_BASZ16_WD544.jpg" TargetMode="External"/><Relationship Id="rId7" Type="http://schemas.openxmlformats.org/officeDocument/2006/relationships/image" Target="file:///D:\Master%20AEPIA\1er%20a&#241;o\6.%20Deep%20learning\Trabajo\all\Extra_filt_LR0.01_OPT.keras.optimizer_v2.gradient_descent.SGD_BASZ4_WD544.jpg" TargetMode="External"/><Relationship Id="rId12" Type="http://schemas.openxmlformats.org/officeDocument/2006/relationships/image" Target="file:///D:\Master%20AEPIA\1er%20a&#241;o\6.%20Deep%20learning\Trabajo\all\Extra_filt_LR0.01_OPT.keras.optimizer_v2.gradient_descent.SGD_BASZ16_WD362.jpg" TargetMode="External"/><Relationship Id="rId2" Type="http://schemas.openxmlformats.org/officeDocument/2006/relationships/image" Target="file:///D:\Master%20AEPIA\1er%20a&#241;o\6.%20Deep%20learning\Trabajo\all\Extra_filt_LR0.01_OPT.keras.optimizer_v2.adam.Adam_BASZ8_WD544.jpg" TargetMode="External"/><Relationship Id="rId1" Type="http://schemas.openxmlformats.org/officeDocument/2006/relationships/image" Target="file:///D:\Master%20AEPIA\1er%20a&#241;o\6.%20Deep%20learning\Trabajo\all\Extra_filt_LR0.01_OPT.keras.optimizer_v2.adam.Adam_BASZ4_WD544.jpg" TargetMode="External"/><Relationship Id="rId6" Type="http://schemas.openxmlformats.org/officeDocument/2006/relationships/image" Target="file:///D:\Master%20AEPIA\1er%20a&#241;o\6.%20Deep%20learning\Trabajo\all\Extra_filt_LR0.01_OPT.keras.optimizer_v2.adam.Adam_BASZ16_WD362.jpg" TargetMode="External"/><Relationship Id="rId11" Type="http://schemas.openxmlformats.org/officeDocument/2006/relationships/image" Target="file:///D:\Master%20AEPIA\1er%20a&#241;o\6.%20Deep%20learning\Trabajo\all\Extra_filt_LR0.01_OPT.keras.optimizer_v2.gradient_descent.SGD_BASZ8_WD362.jpg" TargetMode="External"/><Relationship Id="rId5" Type="http://schemas.openxmlformats.org/officeDocument/2006/relationships/image" Target="file:///D:\Master%20AEPIA\1er%20a&#241;o\6.%20Deep%20learning\Trabajo\all\Extra_filt_LR0.01_OPT.keras.optimizer_v2.adam.Adam_BASZ8_WD362.jpg" TargetMode="External"/><Relationship Id="rId10" Type="http://schemas.openxmlformats.org/officeDocument/2006/relationships/image" Target="file:///D:\Master%20AEPIA\1er%20a&#241;o\6.%20Deep%20learning\Trabajo\all\Extra_filt_LR0.01_OPT.keras.optimizer_v2.gradient_descent.SGD_BASZ4_WD362.jpg" TargetMode="External"/><Relationship Id="rId4" Type="http://schemas.openxmlformats.org/officeDocument/2006/relationships/image" Target="file:///D:\Master%20AEPIA\1er%20a&#241;o\6.%20Deep%20learning\Trabajo\all\Extra_filt_LR0.01_OPT.keras.optimizer_v2.adam.Adam_BASZ4_WD362.jpg" TargetMode="External"/><Relationship Id="rId9" Type="http://schemas.openxmlformats.org/officeDocument/2006/relationships/image" Target="file:///D:\Master%20AEPIA\1er%20a&#241;o\6.%20Deep%20learning\Trabajo\all\Extra_filt_LR0.01_OPT.keras.optimizer_v2.gradient_descent.SGD_BASZ16_WD544.jpg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file:///D:\Master%20AEPIA\1er%20a&#241;o\6.%20Deep%20learning\Trabajo\all\Extra_filt_LR0.001_OPT.keras.optimizer_v2.gradient_descent.SGD_BASZ8_WD544.jpg" TargetMode="External"/><Relationship Id="rId3" Type="http://schemas.openxmlformats.org/officeDocument/2006/relationships/image" Target="file:///D:\Master%20AEPIA\1er%20a&#241;o\6.%20Deep%20learning\Trabajo\all\Extra_filt_LR0.001_OPT.keras.optimizer_v2.adam.Adam_BASZ16_WD544.jpg" TargetMode="External"/><Relationship Id="rId7" Type="http://schemas.openxmlformats.org/officeDocument/2006/relationships/image" Target="file:///D:\Master%20AEPIA\1er%20a&#241;o\6.%20Deep%20learning\Trabajo\all\Extra_filt_LR0.001_OPT.keras.optimizer_v2.gradient_descent.SGD_BASZ4_WD544.jpg" TargetMode="External"/><Relationship Id="rId12" Type="http://schemas.openxmlformats.org/officeDocument/2006/relationships/image" Target="file:///D:\Master%20AEPIA\1er%20a&#241;o\6.%20Deep%20learning\Trabajo\all\Extra_filt_LR0.001_OPT.keras.optimizer_v2.gradient_descent.SGD_BASZ16_WD362.jpg" TargetMode="External"/><Relationship Id="rId2" Type="http://schemas.openxmlformats.org/officeDocument/2006/relationships/image" Target="file:///D:\Master%20AEPIA\1er%20a&#241;o\6.%20Deep%20learning\Trabajo\all\Extra_filt_LR0.001_OPT.keras.optimizer_v2.adam.Adam_BASZ8_WD544.jpg" TargetMode="External"/><Relationship Id="rId1" Type="http://schemas.openxmlformats.org/officeDocument/2006/relationships/image" Target="file:///D:\Master%20AEPIA\1er%20a&#241;o\6.%20Deep%20learning\Trabajo\all\Extra_filt_LR0.001_OPT.keras.optimizer_v2.adam.Adam_BASZ4_WD544.jpg" TargetMode="External"/><Relationship Id="rId6" Type="http://schemas.openxmlformats.org/officeDocument/2006/relationships/image" Target="file:///D:\Master%20AEPIA\1er%20a&#241;o\6.%20Deep%20learning\Trabajo\all\Extra_filt_LR0.001_OPT.keras.optimizer_v2.adam.Adam_BASZ16_WD362.jpg" TargetMode="External"/><Relationship Id="rId11" Type="http://schemas.openxmlformats.org/officeDocument/2006/relationships/image" Target="file:///D:\Master%20AEPIA\1er%20a&#241;o\6.%20Deep%20learning\Trabajo\all\Extra_filt_LR0.001_OPT.keras.optimizer_v2.gradient_descent.SGD_BASZ8_WD362.jpg" TargetMode="External"/><Relationship Id="rId5" Type="http://schemas.openxmlformats.org/officeDocument/2006/relationships/image" Target="file:///D:\Master%20AEPIA\1er%20a&#241;o\6.%20Deep%20learning\Trabajo\all\Extra_filt_LR0.001_OPT.keras.optimizer_v2.adam.Adam_BASZ8_WD362.jpg" TargetMode="External"/><Relationship Id="rId10" Type="http://schemas.openxmlformats.org/officeDocument/2006/relationships/image" Target="file:///D:\Master%20AEPIA\1er%20a&#241;o\6.%20Deep%20learning\Trabajo\all\Extra_filt_LR0.001_OPT.keras.optimizer_v2.gradient_descent.SGD_BASZ4_WD362.jpg" TargetMode="External"/><Relationship Id="rId4" Type="http://schemas.openxmlformats.org/officeDocument/2006/relationships/image" Target="file:///D:\Master%20AEPIA\1er%20a&#241;o\6.%20Deep%20learning\Trabajo\all\Extra_filt_LR0.001_OPT.keras.optimizer_v2.adam.Adam_BASZ4_WD362.jpg" TargetMode="External"/><Relationship Id="rId9" Type="http://schemas.openxmlformats.org/officeDocument/2006/relationships/image" Target="file:///D:\Master%20AEPIA\1er%20a&#241;o\6.%20Deep%20learning\Trabajo\all\Extra_filt_LR0.001_OPT.keras.optimizer_v2.gradient_descent.SGD_BASZ16_WD544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F6BFCC5-AE9F-418B-953E-AB2A8C7D0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10</xdr:col>
      <xdr:colOff>34925</xdr:colOff>
      <xdr:row>11</xdr:row>
      <xdr:rowOff>174388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51C49D8-85B4-4267-8B33-9A2BD910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101600</xdr:colOff>
      <xdr:row>11</xdr:row>
      <xdr:rowOff>174388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EE3BF23-A4A3-4F39-AE1D-56B8965C1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91300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174388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33F0A56-4598-4073-AEC7-876570350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34925</xdr:colOff>
      <xdr:row>22</xdr:row>
      <xdr:rowOff>174388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6689815-9892-4E08-800A-7616CB31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101600</xdr:colOff>
      <xdr:row>22</xdr:row>
      <xdr:rowOff>174388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366B8CA-09A9-47E7-9F49-795936531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91300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174388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9E01982-3958-478F-9331-785A8D50D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34925</xdr:colOff>
      <xdr:row>33</xdr:row>
      <xdr:rowOff>174388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79BA853-6D15-488F-80E9-6BFC2BBDD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47662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25</xdr:row>
      <xdr:rowOff>0</xdr:rowOff>
    </xdr:from>
    <xdr:to>
      <xdr:col>15</xdr:col>
      <xdr:colOff>101600</xdr:colOff>
      <xdr:row>33</xdr:row>
      <xdr:rowOff>174388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52936FB-D430-44B8-8B7B-F5564AA21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591300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174388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BEBC188-967F-4D72-8699-10509B715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907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10</xdr:col>
      <xdr:colOff>34925</xdr:colOff>
      <xdr:row>44</xdr:row>
      <xdr:rowOff>174388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C41175F7-9EF8-415F-B28B-612A024D1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47662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36</xdr:row>
      <xdr:rowOff>0</xdr:rowOff>
    </xdr:from>
    <xdr:to>
      <xdr:col>15</xdr:col>
      <xdr:colOff>101600</xdr:colOff>
      <xdr:row>44</xdr:row>
      <xdr:rowOff>174388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BFC8C309-CE9B-4D4F-BBEA-B9937E20E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591300" y="6858000"/>
          <a:ext cx="2540000" cy="16983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FF0BE50-42CC-4967-A504-675C84F3C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10</xdr:col>
      <xdr:colOff>34925</xdr:colOff>
      <xdr:row>11</xdr:row>
      <xdr:rowOff>174388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91FF4D3-C7B3-4B88-8E63-311D32F20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101600</xdr:colOff>
      <xdr:row>11</xdr:row>
      <xdr:rowOff>174388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85353DC-7A67-405A-9869-E46C47757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91300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174388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B7F940B-B7B2-41D3-A4C9-19B77A50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34925</xdr:colOff>
      <xdr:row>22</xdr:row>
      <xdr:rowOff>174388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80F8852-FB23-4F1B-8141-97E431F59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101600</xdr:colOff>
      <xdr:row>22</xdr:row>
      <xdr:rowOff>174388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891650F-1E2C-4EF8-847A-51B46D918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91300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174388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B797600-781F-493E-8BC2-4E13EEB02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34925</xdr:colOff>
      <xdr:row>33</xdr:row>
      <xdr:rowOff>174388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A4B9634-ACB0-46C7-9E54-B471A0A3A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47662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25</xdr:row>
      <xdr:rowOff>0</xdr:rowOff>
    </xdr:from>
    <xdr:to>
      <xdr:col>15</xdr:col>
      <xdr:colOff>101600</xdr:colOff>
      <xdr:row>33</xdr:row>
      <xdr:rowOff>174388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80FBE12-141D-4098-BF9E-D0E609EC9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591300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174388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6E4EA40-F0CB-4EA6-8B75-C0EE5AEB3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907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10</xdr:col>
      <xdr:colOff>34925</xdr:colOff>
      <xdr:row>44</xdr:row>
      <xdr:rowOff>174388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F622210-B59E-4B0B-9212-F00F39DC2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47662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36</xdr:row>
      <xdr:rowOff>0</xdr:rowOff>
    </xdr:from>
    <xdr:to>
      <xdr:col>15</xdr:col>
      <xdr:colOff>101600</xdr:colOff>
      <xdr:row>44</xdr:row>
      <xdr:rowOff>174388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D83C1D1-3D6D-4AD0-8EB1-71980034E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591300" y="6858000"/>
          <a:ext cx="2540000" cy="16983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495765-8108-48EC-AFA1-26E4F3660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10</xdr:col>
      <xdr:colOff>34925</xdr:colOff>
      <xdr:row>11</xdr:row>
      <xdr:rowOff>174388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90CF62A-2284-4967-94FF-8301F6686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101600</xdr:colOff>
      <xdr:row>11</xdr:row>
      <xdr:rowOff>174388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174D346-90A2-467C-834F-1F290A819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91300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174388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88DBEBF-0DBE-4D7A-BCE9-D4F333EE4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34925</xdr:colOff>
      <xdr:row>22</xdr:row>
      <xdr:rowOff>174388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847544B-F21E-4668-8A1C-A7AF639FD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101600</xdr:colOff>
      <xdr:row>22</xdr:row>
      <xdr:rowOff>174388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11856C5-8919-4F8E-A974-F7E5206B4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91300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174388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F8657F4-84F7-46D8-A0B5-BFB89D672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7714" y="4762500"/>
          <a:ext cx="2542722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34925</xdr:colOff>
      <xdr:row>33</xdr:row>
      <xdr:rowOff>174388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B5494FA-5481-4765-BA53-C104D8A2C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47662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25</xdr:row>
      <xdr:rowOff>0</xdr:rowOff>
    </xdr:from>
    <xdr:to>
      <xdr:col>15</xdr:col>
      <xdr:colOff>101600</xdr:colOff>
      <xdr:row>33</xdr:row>
      <xdr:rowOff>174388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ED71434-42EC-4135-97E6-F2D4B12FC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591300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174388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8575647-A22A-4B93-84EE-196DF5343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907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10</xdr:col>
      <xdr:colOff>34925</xdr:colOff>
      <xdr:row>44</xdr:row>
      <xdr:rowOff>174388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C65AD5DB-DA61-417F-AA9A-6E8A53C9E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47662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36</xdr:row>
      <xdr:rowOff>0</xdr:rowOff>
    </xdr:from>
    <xdr:to>
      <xdr:col>15</xdr:col>
      <xdr:colOff>101600</xdr:colOff>
      <xdr:row>44</xdr:row>
      <xdr:rowOff>174388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7A206E45-9C78-4A33-A22C-2F94024B5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591300" y="6858000"/>
          <a:ext cx="2540000" cy="16983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FCD1BB9-2503-4A5A-8259-793EE0ED0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10</xdr:col>
      <xdr:colOff>34925</xdr:colOff>
      <xdr:row>11</xdr:row>
      <xdr:rowOff>174388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315AF0C-B13A-4DC6-A722-19A45C251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101600</xdr:colOff>
      <xdr:row>11</xdr:row>
      <xdr:rowOff>174388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EA34AD1-EA88-4C42-84F9-C22BCFF0B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91300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174388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65E70E9-F0AE-4ED6-B389-6F1A79A4D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34925</xdr:colOff>
      <xdr:row>22</xdr:row>
      <xdr:rowOff>174388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8D40DB2-A57B-464F-89FA-69A90ACB2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101600</xdr:colOff>
      <xdr:row>22</xdr:row>
      <xdr:rowOff>174388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F278545-5BDC-4010-BC00-05BD5CD81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91300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174388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A9E0EBE-FD52-4FE4-B11B-50406EAD7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34925</xdr:colOff>
      <xdr:row>33</xdr:row>
      <xdr:rowOff>174388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83BFDA7-CFF8-4E7F-BCC4-E187253D9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47662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25</xdr:row>
      <xdr:rowOff>0</xdr:rowOff>
    </xdr:from>
    <xdr:to>
      <xdr:col>15</xdr:col>
      <xdr:colOff>101600</xdr:colOff>
      <xdr:row>33</xdr:row>
      <xdr:rowOff>174388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9BC3CAA-419B-4BDE-931B-47A3F2072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591300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174388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33C54CF-A2B7-49AE-BA63-9725BECDB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907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10</xdr:col>
      <xdr:colOff>34925</xdr:colOff>
      <xdr:row>44</xdr:row>
      <xdr:rowOff>174388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E9CD0A98-A7C3-49EF-ACFE-C9BCD53C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47662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36</xdr:row>
      <xdr:rowOff>0</xdr:rowOff>
    </xdr:from>
    <xdr:to>
      <xdr:col>15</xdr:col>
      <xdr:colOff>101600</xdr:colOff>
      <xdr:row>44</xdr:row>
      <xdr:rowOff>174388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A32C2B0C-DB19-4830-8290-00C5F7E2F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591300" y="6858000"/>
          <a:ext cx="2540000" cy="16983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DAF7B8-0849-41A5-A6F2-C293E2D5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10</xdr:col>
      <xdr:colOff>34925</xdr:colOff>
      <xdr:row>11</xdr:row>
      <xdr:rowOff>174388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D36831D-6C8B-49E1-BC46-53358C5C4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101600</xdr:colOff>
      <xdr:row>11</xdr:row>
      <xdr:rowOff>174388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C353411-95A9-4852-AD8F-3C769509E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91300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174388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35C9F67-9A9F-4EE5-B939-135581CF6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34925</xdr:colOff>
      <xdr:row>22</xdr:row>
      <xdr:rowOff>174388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A8F5918-187A-4AF1-9553-180E43F20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101600</xdr:colOff>
      <xdr:row>22</xdr:row>
      <xdr:rowOff>174388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290557E-7EA6-4313-AB26-2FED54946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91300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174388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9EAA9C2-0E83-4ECC-B95B-A6C30C5EB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34925</xdr:colOff>
      <xdr:row>33</xdr:row>
      <xdr:rowOff>174388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1C0EF316-0592-421B-9A21-F0243375D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47662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25</xdr:row>
      <xdr:rowOff>0</xdr:rowOff>
    </xdr:from>
    <xdr:to>
      <xdr:col>15</xdr:col>
      <xdr:colOff>101600</xdr:colOff>
      <xdr:row>33</xdr:row>
      <xdr:rowOff>174388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73C5696-7637-4884-9EB3-42793762E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591300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174388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1DD93A9-34A5-4C32-AEE2-413ECA8E0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907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10</xdr:col>
      <xdr:colOff>34925</xdr:colOff>
      <xdr:row>44</xdr:row>
      <xdr:rowOff>174388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9E756327-5A70-4D6D-953B-B1D281840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47662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36</xdr:row>
      <xdr:rowOff>0</xdr:rowOff>
    </xdr:from>
    <xdr:to>
      <xdr:col>15</xdr:col>
      <xdr:colOff>101600</xdr:colOff>
      <xdr:row>44</xdr:row>
      <xdr:rowOff>174388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105B1A59-CB6F-4DB0-8792-A82924A0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591300" y="6858000"/>
          <a:ext cx="2540000" cy="169838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027800-7F0F-4200-BD6F-637BFE071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10</xdr:col>
      <xdr:colOff>34925</xdr:colOff>
      <xdr:row>11</xdr:row>
      <xdr:rowOff>174388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08C43E8-B18A-4246-8812-F1B2242AC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101600</xdr:colOff>
      <xdr:row>11</xdr:row>
      <xdr:rowOff>174388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754CB34-B41D-49A4-8E5E-B2561CDF1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91300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174388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3325D75-A923-4535-8DE3-9BCD6DEAC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34925</xdr:colOff>
      <xdr:row>22</xdr:row>
      <xdr:rowOff>174388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BE005DA-1C11-4B66-9C53-2EE680447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101600</xdr:colOff>
      <xdr:row>22</xdr:row>
      <xdr:rowOff>174388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C644EFC-9A36-419A-A2B5-09F2CC851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91300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174388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96D0E54-5C88-4B1F-8BA6-529DD2437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34925</xdr:colOff>
      <xdr:row>33</xdr:row>
      <xdr:rowOff>174388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7DA13BE-DDD8-412C-8B94-E249C74CB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47662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25</xdr:row>
      <xdr:rowOff>0</xdr:rowOff>
    </xdr:from>
    <xdr:to>
      <xdr:col>15</xdr:col>
      <xdr:colOff>101600</xdr:colOff>
      <xdr:row>33</xdr:row>
      <xdr:rowOff>174388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22BF0ED-18F2-4683-90BE-575AED72F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591300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174388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136F835-2A18-4B99-B214-3717D3B7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907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10</xdr:col>
      <xdr:colOff>34925</xdr:colOff>
      <xdr:row>44</xdr:row>
      <xdr:rowOff>174388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69A2ED35-E171-4D29-B215-BC8379AEC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47662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36</xdr:row>
      <xdr:rowOff>0</xdr:rowOff>
    </xdr:from>
    <xdr:to>
      <xdr:col>15</xdr:col>
      <xdr:colOff>101600</xdr:colOff>
      <xdr:row>44</xdr:row>
      <xdr:rowOff>174388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D37E738-F85F-477B-A0A7-6E2C9819B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591300" y="6858000"/>
          <a:ext cx="2540000" cy="169838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F0E4B02-5084-4BCC-B9B3-CE591E133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10</xdr:col>
      <xdr:colOff>34925</xdr:colOff>
      <xdr:row>11</xdr:row>
      <xdr:rowOff>174388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DDB2EB2-7315-4FC9-BF2A-8E507664E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101600</xdr:colOff>
      <xdr:row>11</xdr:row>
      <xdr:rowOff>174388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A3D53CB-4B32-4EE2-8DA5-41769CAFE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91300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174388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C1AEDA4-2E10-4C21-A46F-6EAE52511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34925</xdr:colOff>
      <xdr:row>22</xdr:row>
      <xdr:rowOff>174388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6708935-A9B9-4FBB-9CBA-A5AC4C3B0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101600</xdr:colOff>
      <xdr:row>22</xdr:row>
      <xdr:rowOff>174388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170B8F1-EDBE-4D11-BF49-D99D150DF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91300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174388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155517D-A68E-4A8C-A146-D3237F78B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34925</xdr:colOff>
      <xdr:row>33</xdr:row>
      <xdr:rowOff>174388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17347247-94E7-494B-B6A9-DECBDCDAD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47662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25</xdr:row>
      <xdr:rowOff>0</xdr:rowOff>
    </xdr:from>
    <xdr:to>
      <xdr:col>15</xdr:col>
      <xdr:colOff>101600</xdr:colOff>
      <xdr:row>33</xdr:row>
      <xdr:rowOff>174388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C778816-CC02-4893-B6CF-8B9452A0E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591300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174388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AB64A50-4AD4-46FA-A664-E9A6636ED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907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10</xdr:col>
      <xdr:colOff>34925</xdr:colOff>
      <xdr:row>44</xdr:row>
      <xdr:rowOff>174388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454F59E-3C47-4634-B838-72421310D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47662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36</xdr:row>
      <xdr:rowOff>0</xdr:rowOff>
    </xdr:from>
    <xdr:to>
      <xdr:col>15</xdr:col>
      <xdr:colOff>101600</xdr:colOff>
      <xdr:row>44</xdr:row>
      <xdr:rowOff>174388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27AA5EA1-0DB7-4635-9677-AE61694DA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591300" y="6858000"/>
          <a:ext cx="2540000" cy="169838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47BA86-48E7-492F-8F13-E8BC4205E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10</xdr:col>
      <xdr:colOff>34925</xdr:colOff>
      <xdr:row>11</xdr:row>
      <xdr:rowOff>174388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381CFE3-ACA2-4B00-A031-9368DFEE2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101600</xdr:colOff>
      <xdr:row>11</xdr:row>
      <xdr:rowOff>174388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9A2A0A5-35C4-4377-B1D5-658424BB8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91300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174388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05D822E-92CC-4207-9995-3E2D085F6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34925</xdr:colOff>
      <xdr:row>22</xdr:row>
      <xdr:rowOff>174388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887102E-7B13-4A4D-8B7D-F69D1589E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101600</xdr:colOff>
      <xdr:row>22</xdr:row>
      <xdr:rowOff>174388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6548844-D853-46C7-9603-40EB37FAD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91300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174388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8ABB4-3360-4D61-95AB-CE6F27FEE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34925</xdr:colOff>
      <xdr:row>33</xdr:row>
      <xdr:rowOff>174388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5B4B477-FDA5-4899-86CE-4893E52C0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47662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25</xdr:row>
      <xdr:rowOff>0</xdr:rowOff>
    </xdr:from>
    <xdr:to>
      <xdr:col>15</xdr:col>
      <xdr:colOff>101600</xdr:colOff>
      <xdr:row>33</xdr:row>
      <xdr:rowOff>174388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FFE9907A-7B80-4642-AA49-7C2FDE624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591300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174388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F95BE9C-B37D-404E-B923-E55BA27C1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907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10</xdr:col>
      <xdr:colOff>34925</xdr:colOff>
      <xdr:row>44</xdr:row>
      <xdr:rowOff>174388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D0754E3-A59D-4D13-BE55-CDAC1D09A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47662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36</xdr:row>
      <xdr:rowOff>0</xdr:rowOff>
    </xdr:from>
    <xdr:to>
      <xdr:col>15</xdr:col>
      <xdr:colOff>101600</xdr:colOff>
      <xdr:row>44</xdr:row>
      <xdr:rowOff>174388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D4787B78-2129-48FD-BDCE-8537D0065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591300" y="6858000"/>
          <a:ext cx="2540000" cy="169838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501650</xdr:colOff>
      <xdr:row>11</xdr:row>
      <xdr:rowOff>174388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BC2C78-5DE4-463B-9B23-C46A72CC2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07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10</xdr:col>
      <xdr:colOff>34925</xdr:colOff>
      <xdr:row>11</xdr:row>
      <xdr:rowOff>174388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767020-E5C7-4749-A226-5EDC1DF4B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476625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101600</xdr:colOff>
      <xdr:row>11</xdr:row>
      <xdr:rowOff>174388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61CA025-558E-4738-B56C-21F3237D2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91300" y="571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501650</xdr:colOff>
      <xdr:row>22</xdr:row>
      <xdr:rowOff>174388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E0C2A44-989B-4F77-99FA-40CBF1004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07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34925</xdr:colOff>
      <xdr:row>22</xdr:row>
      <xdr:rowOff>174388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8A1E3B8-FB38-4AEA-AAB9-878094CC7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476625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101600</xdr:colOff>
      <xdr:row>22</xdr:row>
      <xdr:rowOff>174388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6949F91-3CAA-43D0-A687-5E31D8C58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591300" y="26670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</xdr:row>
      <xdr:rowOff>0</xdr:rowOff>
    </xdr:from>
    <xdr:to>
      <xdr:col>4</xdr:col>
      <xdr:colOff>501650</xdr:colOff>
      <xdr:row>33</xdr:row>
      <xdr:rowOff>174388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E235ACB-32F3-4EEB-9D5E-3CD4857F5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907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34925</xdr:colOff>
      <xdr:row>33</xdr:row>
      <xdr:rowOff>174388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9E1AADC-5620-40EB-85ED-C97DEEF8D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476625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25</xdr:row>
      <xdr:rowOff>0</xdr:rowOff>
    </xdr:from>
    <xdr:to>
      <xdr:col>15</xdr:col>
      <xdr:colOff>101600</xdr:colOff>
      <xdr:row>33</xdr:row>
      <xdr:rowOff>174388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BD082D3-714A-4D47-947B-2BF9112F8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591300" y="4762500"/>
          <a:ext cx="2540000" cy="1698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4</xdr:col>
      <xdr:colOff>501650</xdr:colOff>
      <xdr:row>44</xdr:row>
      <xdr:rowOff>174388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FDB1011-60B5-489A-84AE-35EEECE5F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907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36</xdr:row>
      <xdr:rowOff>0</xdr:rowOff>
    </xdr:from>
    <xdr:to>
      <xdr:col>10</xdr:col>
      <xdr:colOff>34925</xdr:colOff>
      <xdr:row>44</xdr:row>
      <xdr:rowOff>174388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C717CD18-C17A-4E71-B862-3CED644B6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476625" y="6858000"/>
          <a:ext cx="2540000" cy="169838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36</xdr:row>
      <xdr:rowOff>0</xdr:rowOff>
    </xdr:from>
    <xdr:to>
      <xdr:col>15</xdr:col>
      <xdr:colOff>101600</xdr:colOff>
      <xdr:row>44</xdr:row>
      <xdr:rowOff>174388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1B71C618-378E-492D-9980-868C5D04A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591300" y="6858000"/>
          <a:ext cx="2540000" cy="169838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7D5313-2FDF-4CDA-89F0-171BDB36E936}" name="Table4" displayName="Table4" ref="A1:L37" totalsRowShown="0">
  <autoFilter ref="A1:L37" xr:uid="{57AA9C90-CD2E-43F6-9130-CEB84FF71406}"/>
  <sortState xmlns:xlrd2="http://schemas.microsoft.com/office/spreadsheetml/2017/richdata2" ref="A2:L37">
    <sortCondition ref="L1:L37"/>
  </sortState>
  <tableColumns count="12">
    <tableColumn id="1" xr3:uid="{46F8D5B5-433D-4094-A642-357041319666}" name="Arq"/>
    <tableColumn id="2" xr3:uid="{4012113A-A7C0-4CF3-9642-86BF62667675}" name="Batch"/>
    <tableColumn id="3" xr3:uid="{7C2EC066-D176-49A0-A4D5-125498031F27}" name="Width"/>
    <tableColumn id="4" xr3:uid="{CC17DCA5-88F9-449F-B17C-C72ABFC7C554}" name="Height"/>
    <tableColumn id="5" xr3:uid="{7A0F44AA-CE3A-4042-84C9-31AC70890140}" name="LearnRate"/>
    <tableColumn id="6" xr3:uid="{8DEE0747-8A30-4918-969F-55139B37FDA1}" name="Optimizer2"/>
    <tableColumn id="7" xr3:uid="{23A342E1-E7A1-478A-9165-33EA013B94A9}" name="Optimizer">
      <calculatedColumnFormula>IF(RIGHT(LEFT(F2,47),4)="Adam","Adam","SGD")</calculatedColumnFormula>
    </tableColumn>
    <tableColumn id="8" xr3:uid="{ACE65023-1540-4F75-A760-AD021C534E6C}" name="Time" dataDxfId="14"/>
    <tableColumn id="9" xr3:uid="{4D51ABEE-3523-4427-AE4E-5AC36640D5D1}" name="Train_loss" dataDxfId="13"/>
    <tableColumn id="10" xr3:uid="{98AFFEF1-B752-44E9-AE5D-FA6DB537C028}" name="Val_loss" dataDxfId="12"/>
    <tableColumn id="11" xr3:uid="{8CA580A0-14DE-4B1F-86EF-EAF16571D9DD}" name="Test_loss" dataDxfId="11"/>
    <tableColumn id="12" xr3:uid="{3E87758D-114F-4479-B677-DBCAD391D979}" name="Test_RMSE" dataDxfId="10">
      <calculatedColumnFormula>SQRT(K2)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1BAD1-9B80-4146-BAF0-EF192821A4AE}" name="Table3" displayName="Table3" ref="A1:L37" totalsRowShown="0">
  <autoFilter ref="A1:L37" xr:uid="{925C2CC0-CE82-4DBB-BE73-2E996EEB788F}"/>
  <sortState xmlns:xlrd2="http://schemas.microsoft.com/office/spreadsheetml/2017/richdata2" ref="A2:L37">
    <sortCondition ref="L1:L37"/>
  </sortState>
  <tableColumns count="12">
    <tableColumn id="1" xr3:uid="{96CD40FB-A481-435C-B53C-955B85D83A14}" name="Arq"/>
    <tableColumn id="2" xr3:uid="{563BB20B-692A-4A49-A8B7-5128B48E8480}" name="Batch"/>
    <tableColumn id="3" xr3:uid="{EAF269C1-60D5-4D61-A4BC-3D5066AAC0E6}" name="Width"/>
    <tableColumn id="4" xr3:uid="{B1CC9E3B-7DAB-4297-B0D3-C39A996D2C57}" name="Height"/>
    <tableColumn id="5" xr3:uid="{1DEE09BC-9C26-43BF-93E0-6FD1ABB08D34}" name="LearnRate"/>
    <tableColumn id="6" xr3:uid="{4FC77642-6F86-4D20-9256-896AC71BB63E}" name="Optimizer2"/>
    <tableColumn id="7" xr3:uid="{1D80A9F6-2316-4F3A-8F92-A9E7E1727965}" name="Optimizer">
      <calculatedColumnFormula>IF(RIGHT(LEFT(F2,47),4)="Adam","Adam","SGD")</calculatedColumnFormula>
    </tableColumn>
    <tableColumn id="8" xr3:uid="{7F10686F-05A2-4EC3-BB8B-31CBA7391BF7}" name="Time" dataDxfId="9"/>
    <tableColumn id="9" xr3:uid="{01ACE0CB-5B28-443F-AE2F-3309DA1267F0}" name="Train_loss" dataDxfId="8"/>
    <tableColumn id="10" xr3:uid="{1DC68CF1-A45F-45A4-85EE-4DF0DC5A7252}" name="Val_loss" dataDxfId="7"/>
    <tableColumn id="11" xr3:uid="{D3F455ED-1E2D-450F-B660-5FCDCBFA54E1}" name="Test_loss" dataDxfId="6"/>
    <tableColumn id="12" xr3:uid="{65622DBA-D39C-438F-A2BF-8B75B6C2490C}" name="Test_RMSE" dataDxfId="5">
      <calculatedColumnFormula>SQRT(Table3[[#This Row],[Test_loss]])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F83209-2D9B-413F-A4C3-13397DEBFD90}" name="Table5" displayName="Table5" ref="A1:L37" totalsRowShown="0">
  <autoFilter ref="A1:L37" xr:uid="{6C7F7B83-1E02-4A1A-9067-1BA3B8C9CCD9}"/>
  <sortState xmlns:xlrd2="http://schemas.microsoft.com/office/spreadsheetml/2017/richdata2" ref="A2:L37">
    <sortCondition ref="L1:L37"/>
  </sortState>
  <tableColumns count="12">
    <tableColumn id="1" xr3:uid="{0C4AC460-5E99-4B23-A041-CE709EC07DD3}" name="Arq"/>
    <tableColumn id="2" xr3:uid="{6223A40A-ABA3-4F58-93DD-43310FD35630}" name="Batch"/>
    <tableColumn id="3" xr3:uid="{E9036356-3420-4678-9429-636D0B48FB2E}" name="Width"/>
    <tableColumn id="4" xr3:uid="{C8C83F28-EBC8-4412-B10D-42E2C15DA6D5}" name="Height"/>
    <tableColumn id="5" xr3:uid="{BF7BBE79-46C8-4132-9285-C40823164E83}" name="LearnRate"/>
    <tableColumn id="6" xr3:uid="{7031FA71-8C5F-4A1C-85EA-38004F22A3F4}" name="Optimizer2"/>
    <tableColumn id="7" xr3:uid="{05A3C8F1-265E-4615-A6D5-24B03B27A27A}" name="Optimizer">
      <calculatedColumnFormula>IF(RIGHT(LEFT(F2,47),4)="Adam","Adam","SGD")</calculatedColumnFormula>
    </tableColumn>
    <tableColumn id="8" xr3:uid="{5EB8BAE0-9FCC-4F91-96C8-71B05E096DA0}" name="Time" dataDxfId="4"/>
    <tableColumn id="9" xr3:uid="{794098B2-CE9A-4F62-9EB7-630A95C252C5}" name="Train_loss" dataDxfId="3"/>
    <tableColumn id="10" xr3:uid="{24DF1726-FFDE-4527-816A-92482420AD1C}" name="Val_loss" dataDxfId="2"/>
    <tableColumn id="11" xr3:uid="{0C0D1F05-BC30-462B-A0EC-046618A0533E}" name="Test_loss" dataDxfId="1"/>
    <tableColumn id="12" xr3:uid="{846B8D91-B989-44EE-A7C8-8A4E13F97B83}" name="Test_RMSE" dataDxfId="0">
      <calculatedColumnFormula>SQRT(K2)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N44"/>
  <sheetViews>
    <sheetView showGridLines="0" tabSelected="1" zoomScale="85" zoomScaleNormal="85" workbookViewId="0"/>
  </sheetViews>
  <sheetFormatPr defaultColWidth="0" defaultRowHeight="15" customHeight="1" zeroHeight="1" x14ac:dyDescent="0.25"/>
  <cols>
    <col min="1" max="3" width="9.140625" customWidth="1"/>
    <col min="4" max="4" width="9.28515625" customWidth="1"/>
    <col min="5" max="5" width="12.42578125" customWidth="1"/>
    <col min="6" max="6" width="9.140625" hidden="1" customWidth="1"/>
    <col min="7" max="7" width="13.140625" customWidth="1"/>
    <col min="8" max="8" width="7.7109375" customWidth="1"/>
    <col min="9" max="9" width="12.7109375" customWidth="1"/>
    <col min="10" max="10" width="11.140625" customWidth="1"/>
    <col min="11" max="11" width="12" customWidth="1"/>
    <col min="12" max="12" width="13" customWidth="1"/>
    <col min="13" max="13" width="3.5703125" customWidth="1"/>
    <col min="14" max="14" width="0" hidden="1" customWidth="1"/>
    <col min="15" max="16384" width="9.140625" hidden="1"/>
  </cols>
  <sheetData>
    <row r="1" spans="1:12" x14ac:dyDescent="0.25">
      <c r="A1" t="s">
        <v>9</v>
      </c>
      <c r="B1" t="s">
        <v>0</v>
      </c>
      <c r="C1" t="s">
        <v>8</v>
      </c>
      <c r="D1" t="s">
        <v>1</v>
      </c>
      <c r="E1" t="s">
        <v>2</v>
      </c>
      <c r="F1" t="s">
        <v>123</v>
      </c>
      <c r="G1" t="s">
        <v>3</v>
      </c>
      <c r="H1" t="s">
        <v>5</v>
      </c>
      <c r="I1" t="s">
        <v>6</v>
      </c>
      <c r="J1" t="s">
        <v>7</v>
      </c>
      <c r="K1" t="s">
        <v>4</v>
      </c>
      <c r="L1" t="s">
        <v>124</v>
      </c>
    </row>
    <row r="2" spans="1:12" x14ac:dyDescent="0.25">
      <c r="A2" t="s">
        <v>10</v>
      </c>
      <c r="B2">
        <v>16</v>
      </c>
      <c r="C2">
        <v>544</v>
      </c>
      <c r="D2">
        <v>408</v>
      </c>
      <c r="E2">
        <v>0.1</v>
      </c>
      <c r="F2" t="s">
        <v>16</v>
      </c>
      <c r="G2" t="str">
        <f t="shared" ref="G2:G37" si="0">IF(RIGHT(LEFT(F2,47),4)="Adam","Adam","SGD")</f>
        <v>Adam</v>
      </c>
      <c r="H2" s="2">
        <v>374.75332212448097</v>
      </c>
      <c r="I2" s="1">
        <v>2.8689029135022799</v>
      </c>
      <c r="J2" s="1">
        <v>6.3489006890190902</v>
      </c>
      <c r="K2" s="1">
        <v>4.98948579364352</v>
      </c>
      <c r="L2" s="1">
        <f t="shared" ref="L2:L37" si="1">SQRT(K2)</f>
        <v>2.2337156922141008</v>
      </c>
    </row>
    <row r="3" spans="1:12" x14ac:dyDescent="0.25">
      <c r="A3" t="s">
        <v>10</v>
      </c>
      <c r="B3">
        <v>8</v>
      </c>
      <c r="C3">
        <v>544</v>
      </c>
      <c r="D3">
        <v>408</v>
      </c>
      <c r="E3">
        <v>1E-3</v>
      </c>
      <c r="F3" t="s">
        <v>39</v>
      </c>
      <c r="G3" t="str">
        <f t="shared" si="0"/>
        <v>Adam</v>
      </c>
      <c r="H3" s="2">
        <v>223.849382162094</v>
      </c>
      <c r="I3" s="1">
        <v>2.4364184649897198</v>
      </c>
      <c r="J3" s="1">
        <v>6.56405588827635</v>
      </c>
      <c r="K3" s="1">
        <v>5.1267029047012302</v>
      </c>
      <c r="L3" s="1">
        <f t="shared" si="1"/>
        <v>2.2642223620265813</v>
      </c>
    </row>
    <row r="4" spans="1:12" x14ac:dyDescent="0.25">
      <c r="A4" t="s">
        <v>10</v>
      </c>
      <c r="B4">
        <v>16</v>
      </c>
      <c r="C4">
        <v>544</v>
      </c>
      <c r="D4">
        <v>408</v>
      </c>
      <c r="E4">
        <v>0.01</v>
      </c>
      <c r="F4" t="s">
        <v>28</v>
      </c>
      <c r="G4" t="str">
        <f t="shared" si="0"/>
        <v>Adam</v>
      </c>
      <c r="H4" s="2">
        <v>251.965449094772</v>
      </c>
      <c r="I4" s="1">
        <v>3.8031977588294898</v>
      </c>
      <c r="J4" s="1">
        <v>6.33049543698628</v>
      </c>
      <c r="K4" s="1">
        <v>5.5051749812232096</v>
      </c>
      <c r="L4" s="1">
        <f t="shared" si="1"/>
        <v>2.3463109302100627</v>
      </c>
    </row>
    <row r="5" spans="1:12" x14ac:dyDescent="0.25">
      <c r="A5" s="3" t="s">
        <v>10</v>
      </c>
      <c r="B5" s="3">
        <v>4</v>
      </c>
      <c r="C5" s="3">
        <v>362</v>
      </c>
      <c r="D5" s="3">
        <v>272</v>
      </c>
      <c r="E5" s="3">
        <v>1E-3</v>
      </c>
      <c r="F5" s="3" t="s">
        <v>41</v>
      </c>
      <c r="G5" s="3" t="str">
        <f t="shared" si="0"/>
        <v>Adam</v>
      </c>
      <c r="H5" s="4">
        <v>107.39375114440899</v>
      </c>
      <c r="I5" s="5">
        <v>5.08823892582698</v>
      </c>
      <c r="J5" s="5">
        <v>6.5627506065525498</v>
      </c>
      <c r="K5" s="5">
        <v>5.5240955242985104</v>
      </c>
      <c r="L5" s="5">
        <f t="shared" si="1"/>
        <v>2.35033944873895</v>
      </c>
    </row>
    <row r="6" spans="1:12" x14ac:dyDescent="0.25">
      <c r="A6" t="s">
        <v>10</v>
      </c>
      <c r="B6">
        <v>4</v>
      </c>
      <c r="C6">
        <v>362</v>
      </c>
      <c r="D6">
        <v>272</v>
      </c>
      <c r="E6">
        <v>0.01</v>
      </c>
      <c r="F6" t="s">
        <v>29</v>
      </c>
      <c r="G6" t="str">
        <f t="shared" si="0"/>
        <v>Adam</v>
      </c>
      <c r="H6" s="2">
        <v>153.062845468521</v>
      </c>
      <c r="I6" s="1">
        <v>4.1019941429797999</v>
      </c>
      <c r="J6" s="1">
        <v>6.6547716275641697</v>
      </c>
      <c r="K6" s="1">
        <v>5.6181079588438303</v>
      </c>
      <c r="L6" s="1">
        <f t="shared" si="1"/>
        <v>2.3702548299378763</v>
      </c>
    </row>
    <row r="7" spans="1:12" x14ac:dyDescent="0.25">
      <c r="A7" t="s">
        <v>10</v>
      </c>
      <c r="B7">
        <v>8</v>
      </c>
      <c r="C7">
        <v>362</v>
      </c>
      <c r="D7">
        <v>272</v>
      </c>
      <c r="E7">
        <v>0.01</v>
      </c>
      <c r="F7" t="s">
        <v>30</v>
      </c>
      <c r="G7" t="str">
        <f t="shared" si="0"/>
        <v>Adam</v>
      </c>
      <c r="H7" s="2">
        <v>203.50423002242999</v>
      </c>
      <c r="I7" s="1">
        <v>2.96279518925741</v>
      </c>
      <c r="J7" s="1">
        <v>6.8287030897642396</v>
      </c>
      <c r="K7" s="1">
        <v>5.8201207675431901</v>
      </c>
      <c r="L7" s="1">
        <f t="shared" si="1"/>
        <v>2.4124926461117329</v>
      </c>
    </row>
    <row r="8" spans="1:12" x14ac:dyDescent="0.25">
      <c r="A8" t="s">
        <v>10</v>
      </c>
      <c r="B8">
        <v>4</v>
      </c>
      <c r="C8">
        <v>544</v>
      </c>
      <c r="D8">
        <v>408</v>
      </c>
      <c r="E8">
        <v>1E-3</v>
      </c>
      <c r="F8" t="s">
        <v>38</v>
      </c>
      <c r="G8" t="str">
        <f t="shared" si="0"/>
        <v>Adam</v>
      </c>
      <c r="H8" s="2">
        <v>239.25355553627</v>
      </c>
      <c r="I8" s="1">
        <v>2.5746270273734</v>
      </c>
      <c r="J8" s="1">
        <v>6.5190936546576603</v>
      </c>
      <c r="K8" s="1">
        <v>5.8500889335807997</v>
      </c>
      <c r="L8" s="1">
        <f t="shared" si="1"/>
        <v>2.4186957091748438</v>
      </c>
    </row>
    <row r="9" spans="1:12" x14ac:dyDescent="0.25">
      <c r="A9" t="s">
        <v>10</v>
      </c>
      <c r="B9">
        <v>8</v>
      </c>
      <c r="C9">
        <v>544</v>
      </c>
      <c r="D9">
        <v>408</v>
      </c>
      <c r="E9">
        <v>0.01</v>
      </c>
      <c r="F9" t="s">
        <v>27</v>
      </c>
      <c r="G9" t="str">
        <f t="shared" si="0"/>
        <v>Adam</v>
      </c>
      <c r="H9" s="2">
        <v>262.84623265266401</v>
      </c>
      <c r="I9" s="1">
        <v>2.8903129349292098</v>
      </c>
      <c r="J9" s="1">
        <v>6.2693156317660597</v>
      </c>
      <c r="K9" s="1">
        <v>5.8851445536864402</v>
      </c>
      <c r="L9" s="1">
        <f t="shared" si="1"/>
        <v>2.4259316877617225</v>
      </c>
    </row>
    <row r="10" spans="1:12" x14ac:dyDescent="0.25">
      <c r="A10" t="s">
        <v>10</v>
      </c>
      <c r="B10">
        <v>16</v>
      </c>
      <c r="C10">
        <v>362</v>
      </c>
      <c r="D10">
        <v>272</v>
      </c>
      <c r="E10">
        <v>0.01</v>
      </c>
      <c r="F10" t="s">
        <v>31</v>
      </c>
      <c r="G10" t="str">
        <f t="shared" si="0"/>
        <v>Adam</v>
      </c>
      <c r="H10" s="2">
        <v>217.40915703773399</v>
      </c>
      <c r="I10" s="1">
        <v>4.3301150730871996</v>
      </c>
      <c r="J10" s="1">
        <v>6.7642604774898896</v>
      </c>
      <c r="K10" s="1">
        <v>5.9375443193647497</v>
      </c>
      <c r="L10" s="1">
        <f t="shared" si="1"/>
        <v>2.4367076803270331</v>
      </c>
    </row>
    <row r="11" spans="1:12" x14ac:dyDescent="0.25">
      <c r="A11" t="s">
        <v>10</v>
      </c>
      <c r="B11">
        <v>4</v>
      </c>
      <c r="C11">
        <v>544</v>
      </c>
      <c r="D11">
        <v>408</v>
      </c>
      <c r="E11">
        <v>0.01</v>
      </c>
      <c r="F11" t="s">
        <v>32</v>
      </c>
      <c r="G11" t="str">
        <f t="shared" si="0"/>
        <v>SGD</v>
      </c>
      <c r="H11" s="2">
        <v>259.15338325500397</v>
      </c>
      <c r="I11" s="1">
        <v>5.81554431307549</v>
      </c>
      <c r="J11" s="1">
        <v>6.3402281129046401</v>
      </c>
      <c r="K11" s="1">
        <v>6.1965569665557396</v>
      </c>
      <c r="L11" s="1">
        <f t="shared" si="1"/>
        <v>2.4892884458326119</v>
      </c>
    </row>
    <row r="12" spans="1:12" x14ac:dyDescent="0.25">
      <c r="A12" t="s">
        <v>10</v>
      </c>
      <c r="B12">
        <v>8</v>
      </c>
      <c r="C12">
        <v>362</v>
      </c>
      <c r="D12">
        <v>272</v>
      </c>
      <c r="E12">
        <v>0.1</v>
      </c>
      <c r="F12" t="s">
        <v>18</v>
      </c>
      <c r="G12" t="str">
        <f t="shared" si="0"/>
        <v>Adam</v>
      </c>
      <c r="H12" s="2">
        <v>190.42074894904999</v>
      </c>
      <c r="I12" s="1">
        <v>4.4876934786917397</v>
      </c>
      <c r="J12" s="1">
        <v>7.0220641305572098</v>
      </c>
      <c r="K12" s="1">
        <v>6.2379211689296499</v>
      </c>
      <c r="L12" s="1">
        <f t="shared" si="1"/>
        <v>2.4975830654714271</v>
      </c>
    </row>
    <row r="13" spans="1:12" x14ac:dyDescent="0.25">
      <c r="A13" t="s">
        <v>10</v>
      </c>
      <c r="B13">
        <v>8</v>
      </c>
      <c r="C13">
        <v>362</v>
      </c>
      <c r="D13">
        <v>272</v>
      </c>
      <c r="E13">
        <v>0.01</v>
      </c>
      <c r="F13" t="s">
        <v>36</v>
      </c>
      <c r="G13" t="str">
        <f t="shared" si="0"/>
        <v>SGD</v>
      </c>
      <c r="H13" s="2">
        <v>316.44787240028302</v>
      </c>
      <c r="I13" s="1">
        <v>6.2570372853575398</v>
      </c>
      <c r="J13" s="1">
        <v>6.8500843048095703</v>
      </c>
      <c r="K13" s="1">
        <v>6.2820965365359598</v>
      </c>
      <c r="L13" s="1">
        <f t="shared" si="1"/>
        <v>2.5064110869001439</v>
      </c>
    </row>
    <row r="14" spans="1:12" x14ac:dyDescent="0.25">
      <c r="A14" t="s">
        <v>10</v>
      </c>
      <c r="B14">
        <v>8</v>
      </c>
      <c r="C14">
        <v>544</v>
      </c>
      <c r="D14">
        <v>408</v>
      </c>
      <c r="E14">
        <v>0.1</v>
      </c>
      <c r="F14" t="s">
        <v>15</v>
      </c>
      <c r="G14" t="str">
        <f t="shared" si="0"/>
        <v>Adam</v>
      </c>
      <c r="H14" s="2">
        <v>192.187476873397</v>
      </c>
      <c r="I14" s="1">
        <v>4.85906865182569</v>
      </c>
      <c r="J14" s="1">
        <v>6.6832228961743798</v>
      </c>
      <c r="K14" s="1">
        <v>6.3484540111140202</v>
      </c>
      <c r="L14" s="1">
        <f t="shared" si="1"/>
        <v>2.5196138615101362</v>
      </c>
    </row>
    <row r="15" spans="1:12" x14ac:dyDescent="0.25">
      <c r="A15" t="s">
        <v>10</v>
      </c>
      <c r="B15">
        <v>4</v>
      </c>
      <c r="C15">
        <v>544</v>
      </c>
      <c r="D15">
        <v>408</v>
      </c>
      <c r="E15">
        <v>1E-3</v>
      </c>
      <c r="F15" t="s">
        <v>44</v>
      </c>
      <c r="G15" t="str">
        <f t="shared" si="0"/>
        <v>SGD</v>
      </c>
      <c r="H15" s="2">
        <v>200.790831804275</v>
      </c>
      <c r="I15" s="1">
        <v>6.2045831456571703</v>
      </c>
      <c r="J15" s="1">
        <v>6.04086840191954</v>
      </c>
      <c r="K15" s="1">
        <v>6.4287760571429597</v>
      </c>
      <c r="L15" s="1">
        <f t="shared" si="1"/>
        <v>2.5355031171629347</v>
      </c>
    </row>
    <row r="16" spans="1:12" x14ac:dyDescent="0.25">
      <c r="A16" t="s">
        <v>10</v>
      </c>
      <c r="B16">
        <v>8</v>
      </c>
      <c r="C16">
        <v>362</v>
      </c>
      <c r="D16">
        <v>272</v>
      </c>
      <c r="E16">
        <v>1E-3</v>
      </c>
      <c r="F16" t="s">
        <v>42</v>
      </c>
      <c r="G16" t="str">
        <f t="shared" si="0"/>
        <v>Adam</v>
      </c>
      <c r="H16" s="2">
        <v>176.17735934257499</v>
      </c>
      <c r="I16" s="1">
        <v>4.7778778203776104</v>
      </c>
      <c r="J16" s="1">
        <v>6.4601819828936904</v>
      </c>
      <c r="K16" s="1">
        <v>6.46896987212331</v>
      </c>
      <c r="L16" s="1">
        <f t="shared" si="1"/>
        <v>2.5434169678059693</v>
      </c>
    </row>
    <row r="17" spans="1:12" x14ac:dyDescent="0.25">
      <c r="A17" t="s">
        <v>10</v>
      </c>
      <c r="B17">
        <v>16</v>
      </c>
      <c r="C17">
        <v>362</v>
      </c>
      <c r="D17">
        <v>272</v>
      </c>
      <c r="E17">
        <v>0.1</v>
      </c>
      <c r="F17" t="s">
        <v>19</v>
      </c>
      <c r="G17" t="str">
        <f t="shared" si="0"/>
        <v>Adam</v>
      </c>
      <c r="H17" s="2">
        <v>267.41116595268198</v>
      </c>
      <c r="I17" s="1">
        <v>3.9780574605675501</v>
      </c>
      <c r="J17" s="1">
        <v>6.7525669203864203</v>
      </c>
      <c r="K17" s="1">
        <v>6.4770772192213197</v>
      </c>
      <c r="L17" s="1">
        <f t="shared" si="1"/>
        <v>2.5450102591583632</v>
      </c>
    </row>
    <row r="18" spans="1:12" x14ac:dyDescent="0.25">
      <c r="A18" t="s">
        <v>10</v>
      </c>
      <c r="B18">
        <v>4</v>
      </c>
      <c r="C18">
        <v>362</v>
      </c>
      <c r="D18">
        <v>272</v>
      </c>
      <c r="E18">
        <v>0.1</v>
      </c>
      <c r="F18" t="s">
        <v>17</v>
      </c>
      <c r="G18" t="str">
        <f t="shared" si="0"/>
        <v>Adam</v>
      </c>
      <c r="H18" s="2">
        <v>169.989338636398</v>
      </c>
      <c r="I18" s="1">
        <v>4.90910123839598</v>
      </c>
      <c r="J18" s="1">
        <v>7.2940398203699202</v>
      </c>
      <c r="K18" s="1">
        <v>6.5234547696615497</v>
      </c>
      <c r="L18" s="1">
        <f t="shared" si="1"/>
        <v>2.5541054734802064</v>
      </c>
    </row>
    <row r="19" spans="1:12" x14ac:dyDescent="0.25">
      <c r="A19" t="s">
        <v>10</v>
      </c>
      <c r="B19">
        <v>4</v>
      </c>
      <c r="C19">
        <v>544</v>
      </c>
      <c r="D19">
        <v>408</v>
      </c>
      <c r="E19">
        <v>0.01</v>
      </c>
      <c r="F19" t="s">
        <v>26</v>
      </c>
      <c r="G19" t="str">
        <f t="shared" si="0"/>
        <v>Adam</v>
      </c>
      <c r="H19" s="2">
        <v>201.937886953353</v>
      </c>
      <c r="I19" s="1">
        <v>3.5756416951491299</v>
      </c>
      <c r="J19" s="1">
        <v>7.4509780336367397</v>
      </c>
      <c r="K19" s="1">
        <v>6.5334254785587902</v>
      </c>
      <c r="L19" s="1">
        <f t="shared" si="1"/>
        <v>2.5560566266338447</v>
      </c>
    </row>
    <row r="20" spans="1:12" x14ac:dyDescent="0.25">
      <c r="A20" t="s">
        <v>10</v>
      </c>
      <c r="B20">
        <v>8</v>
      </c>
      <c r="C20">
        <v>544</v>
      </c>
      <c r="D20">
        <v>408</v>
      </c>
      <c r="E20">
        <v>1E-3</v>
      </c>
      <c r="F20" t="s">
        <v>45</v>
      </c>
      <c r="G20" t="str">
        <f t="shared" si="0"/>
        <v>SGD</v>
      </c>
      <c r="H20" s="2">
        <v>504.14706087112398</v>
      </c>
      <c r="I20" s="1">
        <v>6.39569843886943</v>
      </c>
      <c r="J20" s="1">
        <v>6.7948785863424597</v>
      </c>
      <c r="K20" s="1">
        <v>6.6105967697344301</v>
      </c>
      <c r="L20" s="1">
        <f t="shared" si="1"/>
        <v>2.5711080820794816</v>
      </c>
    </row>
    <row r="21" spans="1:12" x14ac:dyDescent="0.25">
      <c r="A21" t="s">
        <v>10</v>
      </c>
      <c r="B21">
        <v>4</v>
      </c>
      <c r="C21">
        <v>544</v>
      </c>
      <c r="D21">
        <v>408</v>
      </c>
      <c r="E21">
        <v>0.1</v>
      </c>
      <c r="F21" t="s">
        <v>14</v>
      </c>
      <c r="G21" t="str">
        <f t="shared" si="0"/>
        <v>Adam</v>
      </c>
      <c r="H21" s="2">
        <v>250.83067321777301</v>
      </c>
      <c r="I21" s="1">
        <v>3.6983895362341701</v>
      </c>
      <c r="J21" s="1">
        <v>7.1673811674117998</v>
      </c>
      <c r="K21" s="1">
        <v>6.63072490064721</v>
      </c>
      <c r="L21" s="1">
        <f t="shared" si="1"/>
        <v>2.5750193981108587</v>
      </c>
    </row>
    <row r="22" spans="1:12" x14ac:dyDescent="0.25">
      <c r="A22" t="s">
        <v>10</v>
      </c>
      <c r="B22">
        <v>4</v>
      </c>
      <c r="C22">
        <v>362</v>
      </c>
      <c r="D22">
        <v>272</v>
      </c>
      <c r="E22">
        <v>0.01</v>
      </c>
      <c r="F22" t="s">
        <v>35</v>
      </c>
      <c r="G22" t="str">
        <f t="shared" si="0"/>
        <v>SGD</v>
      </c>
      <c r="H22" s="2">
        <v>201.312216758728</v>
      </c>
      <c r="I22" s="1">
        <v>6.5597467913640903</v>
      </c>
      <c r="J22" s="1">
        <v>6.9947768596834203</v>
      </c>
      <c r="K22" s="1">
        <v>6.7207149078971398</v>
      </c>
      <c r="L22" s="1">
        <f t="shared" si="1"/>
        <v>2.5924341665502597</v>
      </c>
    </row>
    <row r="23" spans="1:12" x14ac:dyDescent="0.25">
      <c r="A23" t="s">
        <v>10</v>
      </c>
      <c r="B23">
        <v>16</v>
      </c>
      <c r="C23">
        <v>362</v>
      </c>
      <c r="D23">
        <v>272</v>
      </c>
      <c r="E23">
        <v>1E-3</v>
      </c>
      <c r="F23" t="s">
        <v>49</v>
      </c>
      <c r="G23" t="str">
        <f t="shared" si="0"/>
        <v>SGD</v>
      </c>
      <c r="H23" s="2">
        <v>434.72572898864701</v>
      </c>
      <c r="I23" s="1">
        <v>6.92927504944325</v>
      </c>
      <c r="J23" s="1">
        <v>7.14748769336276</v>
      </c>
      <c r="K23" s="1">
        <v>6.7599808110131097</v>
      </c>
      <c r="L23" s="1">
        <f t="shared" si="1"/>
        <v>2.5999963098075947</v>
      </c>
    </row>
    <row r="24" spans="1:12" x14ac:dyDescent="0.25">
      <c r="A24" t="s">
        <v>10</v>
      </c>
      <c r="B24">
        <v>4</v>
      </c>
      <c r="C24">
        <v>362</v>
      </c>
      <c r="D24">
        <v>272</v>
      </c>
      <c r="E24">
        <v>1E-3</v>
      </c>
      <c r="F24" t="s">
        <v>47</v>
      </c>
      <c r="G24" t="str">
        <f t="shared" si="0"/>
        <v>SGD</v>
      </c>
      <c r="H24" s="2">
        <v>194.807824850082</v>
      </c>
      <c r="I24" s="1">
        <v>7.3948067754757503</v>
      </c>
      <c r="J24" s="1">
        <v>7.2762126859865601</v>
      </c>
      <c r="K24" s="1">
        <v>6.9368195972944502</v>
      </c>
      <c r="L24" s="1">
        <f t="shared" si="1"/>
        <v>2.633784273112445</v>
      </c>
    </row>
    <row r="25" spans="1:12" x14ac:dyDescent="0.25">
      <c r="A25" t="s">
        <v>10</v>
      </c>
      <c r="B25">
        <v>8</v>
      </c>
      <c r="C25">
        <v>544</v>
      </c>
      <c r="D25">
        <v>408</v>
      </c>
      <c r="E25">
        <v>0.01</v>
      </c>
      <c r="F25" t="s">
        <v>33</v>
      </c>
      <c r="G25" t="str">
        <f t="shared" si="0"/>
        <v>SGD</v>
      </c>
      <c r="H25" s="2">
        <v>344.16641783714198</v>
      </c>
      <c r="I25" s="1">
        <v>6.5907102134865703</v>
      </c>
      <c r="J25" s="1">
        <v>6.2776504441311403</v>
      </c>
      <c r="K25" s="1">
        <v>6.9693549306769098</v>
      </c>
      <c r="L25" s="1">
        <f t="shared" si="1"/>
        <v>2.6399535849474534</v>
      </c>
    </row>
    <row r="26" spans="1:12" x14ac:dyDescent="0.25">
      <c r="A26" t="s">
        <v>10</v>
      </c>
      <c r="B26">
        <v>4</v>
      </c>
      <c r="C26">
        <v>362</v>
      </c>
      <c r="D26">
        <v>272</v>
      </c>
      <c r="E26">
        <v>0.1</v>
      </c>
      <c r="F26" t="s">
        <v>23</v>
      </c>
      <c r="G26" t="str">
        <f t="shared" si="0"/>
        <v>SGD</v>
      </c>
      <c r="H26" s="2">
        <v>218.75573205947799</v>
      </c>
      <c r="I26" s="1">
        <v>7.0667838091943702</v>
      </c>
      <c r="J26" s="1">
        <v>6.9766102652800699</v>
      </c>
      <c r="K26" s="1">
        <v>6.9822860360145498</v>
      </c>
      <c r="L26" s="1">
        <f t="shared" si="1"/>
        <v>2.6424015660028948</v>
      </c>
    </row>
    <row r="27" spans="1:12" x14ac:dyDescent="0.25">
      <c r="A27" t="s">
        <v>10</v>
      </c>
      <c r="B27">
        <v>8</v>
      </c>
      <c r="C27">
        <v>362</v>
      </c>
      <c r="D27">
        <v>272</v>
      </c>
      <c r="E27">
        <v>0.1</v>
      </c>
      <c r="F27" t="s">
        <v>24</v>
      </c>
      <c r="G27" t="str">
        <f t="shared" si="0"/>
        <v>SGD</v>
      </c>
      <c r="H27" s="2">
        <v>276.30744099616999</v>
      </c>
      <c r="I27" s="1">
        <v>6.2608428762457402</v>
      </c>
      <c r="J27" s="1">
        <v>7.96825323293083</v>
      </c>
      <c r="K27" s="1">
        <v>7.0021068422417896</v>
      </c>
      <c r="L27" s="1">
        <f t="shared" si="1"/>
        <v>2.6461494368689364</v>
      </c>
    </row>
    <row r="28" spans="1:12" x14ac:dyDescent="0.25">
      <c r="A28" t="s">
        <v>10</v>
      </c>
      <c r="B28">
        <v>8</v>
      </c>
      <c r="C28">
        <v>544</v>
      </c>
      <c r="D28">
        <v>408</v>
      </c>
      <c r="E28">
        <v>0.1</v>
      </c>
      <c r="F28" t="s">
        <v>21</v>
      </c>
      <c r="G28" t="str">
        <f t="shared" si="0"/>
        <v>SGD</v>
      </c>
      <c r="H28" s="2">
        <v>518.59849929809502</v>
      </c>
      <c r="I28" s="1">
        <v>5.3775269275300897</v>
      </c>
      <c r="J28" s="1">
        <v>6.5977890616968997</v>
      </c>
      <c r="K28" s="1">
        <v>7.0399377847972602</v>
      </c>
      <c r="L28" s="1">
        <f t="shared" si="1"/>
        <v>2.6532881081400226</v>
      </c>
    </row>
    <row r="29" spans="1:12" x14ac:dyDescent="0.25">
      <c r="A29" t="s">
        <v>10</v>
      </c>
      <c r="B29">
        <v>16</v>
      </c>
      <c r="C29">
        <v>544</v>
      </c>
      <c r="D29">
        <v>408</v>
      </c>
      <c r="E29">
        <v>0.1</v>
      </c>
      <c r="F29" t="s">
        <v>22</v>
      </c>
      <c r="G29" t="str">
        <f t="shared" si="0"/>
        <v>SGD</v>
      </c>
      <c r="H29" s="2">
        <v>479.47632026672301</v>
      </c>
      <c r="I29" s="1">
        <v>7.7448004344929302</v>
      </c>
      <c r="J29" s="1">
        <v>7.0536844200558102</v>
      </c>
      <c r="K29" s="1">
        <v>7.0924184587266703</v>
      </c>
      <c r="L29" s="1">
        <f t="shared" si="1"/>
        <v>2.6631594880379716</v>
      </c>
    </row>
    <row r="30" spans="1:12" x14ac:dyDescent="0.25">
      <c r="A30" t="s">
        <v>10</v>
      </c>
      <c r="B30">
        <v>16</v>
      </c>
      <c r="C30">
        <v>362</v>
      </c>
      <c r="D30">
        <v>272</v>
      </c>
      <c r="E30">
        <v>1E-3</v>
      </c>
      <c r="F30" t="s">
        <v>43</v>
      </c>
      <c r="G30" t="str">
        <f t="shared" si="0"/>
        <v>Adam</v>
      </c>
      <c r="H30" s="2">
        <v>147.378962039947</v>
      </c>
      <c r="I30" s="1">
        <v>5.1223593909399803</v>
      </c>
      <c r="J30" s="1">
        <v>8.0172162585788307</v>
      </c>
      <c r="K30" s="1">
        <v>7.2257437176174504</v>
      </c>
      <c r="L30" s="1">
        <f t="shared" si="1"/>
        <v>2.6880743512070961</v>
      </c>
    </row>
    <row r="31" spans="1:12" x14ac:dyDescent="0.25">
      <c r="A31" t="s">
        <v>10</v>
      </c>
      <c r="B31">
        <v>4</v>
      </c>
      <c r="C31">
        <v>544</v>
      </c>
      <c r="D31">
        <v>408</v>
      </c>
      <c r="E31">
        <v>0.1</v>
      </c>
      <c r="F31" t="s">
        <v>20</v>
      </c>
      <c r="G31" t="str">
        <f t="shared" si="0"/>
        <v>SGD</v>
      </c>
      <c r="H31" s="2">
        <v>149.50361394882199</v>
      </c>
      <c r="I31" s="1">
        <v>7.86442310269139</v>
      </c>
      <c r="J31" s="1">
        <v>6.6212059071189397</v>
      </c>
      <c r="K31" s="1">
        <v>7.2275488392302796</v>
      </c>
      <c r="L31" s="1">
        <f t="shared" si="1"/>
        <v>2.6884100950618155</v>
      </c>
    </row>
    <row r="32" spans="1:12" x14ac:dyDescent="0.25">
      <c r="A32" t="s">
        <v>10</v>
      </c>
      <c r="B32">
        <v>16</v>
      </c>
      <c r="C32">
        <v>544</v>
      </c>
      <c r="D32">
        <v>408</v>
      </c>
      <c r="E32">
        <v>0.01</v>
      </c>
      <c r="F32" t="s">
        <v>34</v>
      </c>
      <c r="G32" t="str">
        <f t="shared" si="0"/>
        <v>SGD</v>
      </c>
      <c r="H32" s="2">
        <v>696.75868272781304</v>
      </c>
      <c r="I32" s="1">
        <v>7.2440577748833901</v>
      </c>
      <c r="J32" s="1">
        <v>8.2289317448933907</v>
      </c>
      <c r="K32" s="1">
        <v>7.7543031374613403</v>
      </c>
      <c r="L32" s="1">
        <f t="shared" si="1"/>
        <v>2.7846549404659351</v>
      </c>
    </row>
    <row r="33" spans="1:12" x14ac:dyDescent="0.25">
      <c r="A33" t="s">
        <v>10</v>
      </c>
      <c r="B33">
        <v>8</v>
      </c>
      <c r="C33">
        <v>362</v>
      </c>
      <c r="D33">
        <v>272</v>
      </c>
      <c r="E33">
        <v>1E-3</v>
      </c>
      <c r="F33" t="s">
        <v>48</v>
      </c>
      <c r="G33" t="str">
        <f t="shared" si="0"/>
        <v>SGD</v>
      </c>
      <c r="H33" s="2">
        <v>161.54414558410599</v>
      </c>
      <c r="I33" s="1">
        <v>8.7669394385646697</v>
      </c>
      <c r="J33" s="1">
        <v>8.8409607912364692</v>
      </c>
      <c r="K33" s="1">
        <v>8.3340078529558692</v>
      </c>
      <c r="L33" s="1">
        <f t="shared" si="1"/>
        <v>2.8868681738097894</v>
      </c>
    </row>
    <row r="34" spans="1:12" x14ac:dyDescent="0.25">
      <c r="A34" t="s">
        <v>10</v>
      </c>
      <c r="B34">
        <v>16</v>
      </c>
      <c r="C34">
        <v>544</v>
      </c>
      <c r="D34">
        <v>408</v>
      </c>
      <c r="E34">
        <v>1E-3</v>
      </c>
      <c r="F34" t="s">
        <v>40</v>
      </c>
      <c r="G34" t="str">
        <f t="shared" si="0"/>
        <v>Adam</v>
      </c>
      <c r="H34" s="2">
        <v>251.545418024063</v>
      </c>
      <c r="I34" s="1">
        <v>4.3456496146329702</v>
      </c>
      <c r="J34" s="1">
        <v>8.8084011607699892</v>
      </c>
      <c r="K34" s="1">
        <v>8.5716943211025605</v>
      </c>
      <c r="L34" s="1">
        <f t="shared" si="1"/>
        <v>2.9277456038909118</v>
      </c>
    </row>
    <row r="35" spans="1:12" x14ac:dyDescent="0.25">
      <c r="A35" t="s">
        <v>10</v>
      </c>
      <c r="B35">
        <v>16</v>
      </c>
      <c r="C35">
        <v>362</v>
      </c>
      <c r="D35">
        <v>272</v>
      </c>
      <c r="E35">
        <v>0.1</v>
      </c>
      <c r="F35" t="s">
        <v>25</v>
      </c>
      <c r="G35" t="str">
        <f t="shared" si="0"/>
        <v>SGD</v>
      </c>
      <c r="H35" s="2">
        <v>225.120547771453</v>
      </c>
      <c r="I35" s="1">
        <v>9.3882312774658203</v>
      </c>
      <c r="J35" s="1">
        <v>10.624642001258</v>
      </c>
      <c r="K35" s="1">
        <v>9.5833962228563099</v>
      </c>
      <c r="L35" s="1">
        <f t="shared" si="1"/>
        <v>3.0957060943920873</v>
      </c>
    </row>
    <row r="36" spans="1:12" x14ac:dyDescent="0.25">
      <c r="A36" t="s">
        <v>10</v>
      </c>
      <c r="B36">
        <v>16</v>
      </c>
      <c r="C36">
        <v>362</v>
      </c>
      <c r="D36">
        <v>272</v>
      </c>
      <c r="E36">
        <v>0.01</v>
      </c>
      <c r="F36" t="s">
        <v>37</v>
      </c>
      <c r="G36" t="str">
        <f t="shared" si="0"/>
        <v>SGD</v>
      </c>
      <c r="H36" s="2">
        <v>135.305768728256</v>
      </c>
      <c r="I36" s="1">
        <v>11.812048086074</v>
      </c>
      <c r="J36" s="1">
        <v>11.807306819491901</v>
      </c>
      <c r="K36" s="1">
        <v>10.967188411288699</v>
      </c>
      <c r="L36" s="1">
        <f t="shared" si="1"/>
        <v>3.3116745630101847</v>
      </c>
    </row>
    <row r="37" spans="1:12" x14ac:dyDescent="0.25">
      <c r="A37" t="s">
        <v>10</v>
      </c>
      <c r="B37">
        <v>16</v>
      </c>
      <c r="C37">
        <v>544</v>
      </c>
      <c r="D37">
        <v>408</v>
      </c>
      <c r="E37">
        <v>1E-3</v>
      </c>
      <c r="F37" t="s">
        <v>46</v>
      </c>
      <c r="G37" t="str">
        <f t="shared" si="0"/>
        <v>SGD</v>
      </c>
      <c r="H37" s="2">
        <v>264.32886552810601</v>
      </c>
      <c r="I37" s="1">
        <v>13.1703719956922</v>
      </c>
      <c r="J37" s="1">
        <v>14.554694811502999</v>
      </c>
      <c r="K37" s="1">
        <v>13.551611900329499</v>
      </c>
      <c r="L37" s="1">
        <f t="shared" si="1"/>
        <v>3.6812514041191888</v>
      </c>
    </row>
    <row r="38" spans="1:12" x14ac:dyDescent="0.25"/>
    <row r="39" spans="1:12" ht="15" hidden="1" customHeight="1" x14ac:dyDescent="0.25"/>
    <row r="40" spans="1:12" ht="15" hidden="1" customHeight="1" x14ac:dyDescent="0.25"/>
    <row r="41" spans="1:12" ht="15" hidden="1" customHeight="1" x14ac:dyDescent="0.25"/>
    <row r="42" spans="1:12" ht="15" hidden="1" customHeight="1" x14ac:dyDescent="0.25"/>
    <row r="43" spans="1:12" ht="15" hidden="1" customHeight="1" x14ac:dyDescent="0.25"/>
    <row r="44" spans="1:12" ht="15" hidden="1" customHeight="1" x14ac:dyDescent="0.25"/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0.39997558519241921"/>
  </sheetPr>
  <dimension ref="A1:P46"/>
  <sheetViews>
    <sheetView showGridLines="0" zoomScale="70" zoomScaleNormal="70" workbookViewId="0"/>
  </sheetViews>
  <sheetFormatPr defaultColWidth="0" defaultRowHeight="15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8" width="9.140625" customWidth="1"/>
    <col min="9" max="9" width="10.140625" bestFit="1" customWidth="1"/>
    <col min="10" max="16" width="9.140625" customWidth="1"/>
    <col min="17" max="16384" width="9.140625" hidden="1"/>
  </cols>
  <sheetData>
    <row r="1" spans="2:15" x14ac:dyDescent="0.25"/>
    <row r="2" spans="2:15" x14ac:dyDescent="0.25">
      <c r="B2" t="s">
        <v>8</v>
      </c>
      <c r="C2">
        <v>544</v>
      </c>
      <c r="D2" t="s">
        <v>0</v>
      </c>
      <c r="E2">
        <v>4</v>
      </c>
      <c r="G2" t="s">
        <v>8</v>
      </c>
      <c r="H2">
        <v>544</v>
      </c>
      <c r="I2" t="s">
        <v>0</v>
      </c>
      <c r="J2">
        <v>8</v>
      </c>
      <c r="L2" t="s">
        <v>8</v>
      </c>
      <c r="M2">
        <v>544</v>
      </c>
      <c r="N2" t="s">
        <v>0</v>
      </c>
      <c r="O2">
        <v>16</v>
      </c>
    </row>
    <row r="3" spans="2:15" x14ac:dyDescent="0.25">
      <c r="B3" t="s">
        <v>1</v>
      </c>
      <c r="C3">
        <v>408</v>
      </c>
      <c r="D3" t="s">
        <v>3</v>
      </c>
      <c r="E3" t="s">
        <v>11</v>
      </c>
      <c r="G3" t="s">
        <v>1</v>
      </c>
      <c r="H3">
        <v>408</v>
      </c>
      <c r="I3" t="s">
        <v>3</v>
      </c>
      <c r="J3" t="s">
        <v>11</v>
      </c>
      <c r="L3" t="s">
        <v>1</v>
      </c>
      <c r="M3">
        <v>408</v>
      </c>
      <c r="N3" t="s">
        <v>3</v>
      </c>
      <c r="O3" t="s">
        <v>11</v>
      </c>
    </row>
    <row r="4" spans="2:15" x14ac:dyDescent="0.25"/>
    <row r="5" spans="2:15" x14ac:dyDescent="0.25"/>
    <row r="6" spans="2:15" x14ac:dyDescent="0.25"/>
    <row r="7" spans="2:15" x14ac:dyDescent="0.25"/>
    <row r="8" spans="2:15" x14ac:dyDescent="0.25"/>
    <row r="9" spans="2:15" x14ac:dyDescent="0.25"/>
    <row r="10" spans="2:15" x14ac:dyDescent="0.25"/>
    <row r="11" spans="2:15" x14ac:dyDescent="0.25"/>
    <row r="12" spans="2:15" x14ac:dyDescent="0.25"/>
    <row r="13" spans="2:15" x14ac:dyDescent="0.25">
      <c r="B13" t="s">
        <v>8</v>
      </c>
      <c r="C13">
        <v>362</v>
      </c>
      <c r="D13" t="s">
        <v>0</v>
      </c>
      <c r="E13">
        <v>4</v>
      </c>
      <c r="G13" t="s">
        <v>8</v>
      </c>
      <c r="H13">
        <v>362</v>
      </c>
      <c r="I13" t="s">
        <v>0</v>
      </c>
      <c r="J13">
        <v>8</v>
      </c>
      <c r="L13" t="s">
        <v>8</v>
      </c>
      <c r="M13">
        <v>362</v>
      </c>
      <c r="N13" t="s">
        <v>0</v>
      </c>
      <c r="O13">
        <v>16</v>
      </c>
    </row>
    <row r="14" spans="2:15" x14ac:dyDescent="0.25">
      <c r="B14" t="s">
        <v>1</v>
      </c>
      <c r="C14">
        <v>272</v>
      </c>
      <c r="D14" t="s">
        <v>3</v>
      </c>
      <c r="E14" t="s">
        <v>11</v>
      </c>
      <c r="G14" t="s">
        <v>1</v>
      </c>
      <c r="H14">
        <v>272</v>
      </c>
      <c r="I14" t="s">
        <v>3</v>
      </c>
      <c r="J14" t="s">
        <v>11</v>
      </c>
      <c r="L14" t="s">
        <v>1</v>
      </c>
      <c r="M14">
        <v>272</v>
      </c>
      <c r="N14" t="s">
        <v>3</v>
      </c>
      <c r="O14" t="s">
        <v>11</v>
      </c>
    </row>
    <row r="15" spans="2:15" x14ac:dyDescent="0.25"/>
    <row r="16" spans="2:15" x14ac:dyDescent="0.25"/>
    <row r="17" spans="2:15" x14ac:dyDescent="0.25"/>
    <row r="18" spans="2:15" x14ac:dyDescent="0.25"/>
    <row r="19" spans="2:15" x14ac:dyDescent="0.25"/>
    <row r="20" spans="2:15" x14ac:dyDescent="0.25"/>
    <row r="21" spans="2:15" x14ac:dyDescent="0.25"/>
    <row r="22" spans="2:15" x14ac:dyDescent="0.25"/>
    <row r="23" spans="2:15" x14ac:dyDescent="0.25"/>
    <row r="24" spans="2:15" x14ac:dyDescent="0.25">
      <c r="B24" t="s">
        <v>8</v>
      </c>
      <c r="C24">
        <v>544</v>
      </c>
      <c r="D24" t="s">
        <v>0</v>
      </c>
      <c r="E24">
        <v>4</v>
      </c>
      <c r="G24" t="s">
        <v>8</v>
      </c>
      <c r="H24">
        <v>544</v>
      </c>
      <c r="I24" t="s">
        <v>0</v>
      </c>
      <c r="J24">
        <v>8</v>
      </c>
      <c r="L24" t="s">
        <v>8</v>
      </c>
      <c r="M24">
        <v>544</v>
      </c>
      <c r="N24" t="s">
        <v>0</v>
      </c>
      <c r="O24">
        <v>16</v>
      </c>
    </row>
    <row r="25" spans="2:15" x14ac:dyDescent="0.25">
      <c r="B25" t="s">
        <v>1</v>
      </c>
      <c r="C25">
        <v>408</v>
      </c>
      <c r="D25" t="s">
        <v>3</v>
      </c>
      <c r="E25" t="s">
        <v>12</v>
      </c>
      <c r="G25" t="s">
        <v>1</v>
      </c>
      <c r="H25">
        <v>408</v>
      </c>
      <c r="I25" t="s">
        <v>3</v>
      </c>
      <c r="J25" t="s">
        <v>12</v>
      </c>
      <c r="L25" t="s">
        <v>1</v>
      </c>
      <c r="M25">
        <v>408</v>
      </c>
      <c r="N25" t="s">
        <v>3</v>
      </c>
      <c r="O25" t="s">
        <v>12</v>
      </c>
    </row>
    <row r="26" spans="2:15" x14ac:dyDescent="0.25"/>
    <row r="27" spans="2:15" x14ac:dyDescent="0.25"/>
    <row r="28" spans="2:15" x14ac:dyDescent="0.25"/>
    <row r="29" spans="2:15" x14ac:dyDescent="0.25"/>
    <row r="30" spans="2:15" x14ac:dyDescent="0.25"/>
    <row r="31" spans="2:15" x14ac:dyDescent="0.25"/>
    <row r="32" spans="2:15" x14ac:dyDescent="0.25"/>
    <row r="33" spans="2:15" x14ac:dyDescent="0.25"/>
    <row r="34" spans="2:15" x14ac:dyDescent="0.25"/>
    <row r="35" spans="2:15" x14ac:dyDescent="0.25">
      <c r="B35" t="s">
        <v>8</v>
      </c>
      <c r="C35">
        <v>362</v>
      </c>
      <c r="D35" t="s">
        <v>0</v>
      </c>
      <c r="E35">
        <v>4</v>
      </c>
      <c r="G35" t="s">
        <v>8</v>
      </c>
      <c r="H35">
        <v>362</v>
      </c>
      <c r="I35" t="s">
        <v>0</v>
      </c>
      <c r="J35">
        <v>8</v>
      </c>
      <c r="L35" t="s">
        <v>8</v>
      </c>
      <c r="M35">
        <v>362</v>
      </c>
      <c r="N35" t="s">
        <v>0</v>
      </c>
      <c r="O35">
        <v>16</v>
      </c>
    </row>
    <row r="36" spans="2:15" x14ac:dyDescent="0.25">
      <c r="B36" t="s">
        <v>1</v>
      </c>
      <c r="C36">
        <v>272</v>
      </c>
      <c r="D36" t="s">
        <v>3</v>
      </c>
      <c r="E36" t="s">
        <v>12</v>
      </c>
      <c r="G36" t="s">
        <v>1</v>
      </c>
      <c r="H36">
        <v>272</v>
      </c>
      <c r="I36" t="s">
        <v>3</v>
      </c>
      <c r="J36" t="s">
        <v>12</v>
      </c>
      <c r="L36" t="s">
        <v>1</v>
      </c>
      <c r="M36">
        <v>272</v>
      </c>
      <c r="N36" t="s">
        <v>3</v>
      </c>
      <c r="O36" t="s">
        <v>12</v>
      </c>
    </row>
    <row r="37" spans="2:15" x14ac:dyDescent="0.25"/>
    <row r="38" spans="2:15" x14ac:dyDescent="0.25"/>
    <row r="39" spans="2:15" x14ac:dyDescent="0.25"/>
    <row r="40" spans="2:15" x14ac:dyDescent="0.25"/>
    <row r="41" spans="2:15" x14ac:dyDescent="0.25"/>
    <row r="42" spans="2:15" x14ac:dyDescent="0.25"/>
    <row r="43" spans="2:15" x14ac:dyDescent="0.25"/>
    <row r="44" spans="2:15" x14ac:dyDescent="0.25"/>
    <row r="45" spans="2:15" x14ac:dyDescent="0.25"/>
    <row r="46" spans="2:15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0.39997558519241921"/>
  </sheetPr>
  <dimension ref="A1:P46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8" width="9.140625" customWidth="1"/>
    <col min="9" max="9" width="10.140625" bestFit="1" customWidth="1"/>
    <col min="10" max="16" width="9.140625" customWidth="1"/>
    <col min="17" max="16384" width="9.140625" hidden="1"/>
  </cols>
  <sheetData>
    <row r="1" spans="2:15" x14ac:dyDescent="0.25"/>
    <row r="2" spans="2:15" x14ac:dyDescent="0.25">
      <c r="B2" t="s">
        <v>8</v>
      </c>
      <c r="C2">
        <v>544</v>
      </c>
      <c r="D2" t="s">
        <v>0</v>
      </c>
      <c r="E2">
        <v>4</v>
      </c>
      <c r="G2" t="s">
        <v>8</v>
      </c>
      <c r="H2">
        <v>544</v>
      </c>
      <c r="I2" t="s">
        <v>0</v>
      </c>
      <c r="J2">
        <v>8</v>
      </c>
      <c r="L2" t="s">
        <v>8</v>
      </c>
      <c r="M2">
        <v>544</v>
      </c>
      <c r="N2" t="s">
        <v>0</v>
      </c>
      <c r="O2">
        <v>16</v>
      </c>
    </row>
    <row r="3" spans="2:15" x14ac:dyDescent="0.25">
      <c r="B3" t="s">
        <v>1</v>
      </c>
      <c r="C3">
        <v>408</v>
      </c>
      <c r="D3" t="s">
        <v>3</v>
      </c>
      <c r="E3" t="s">
        <v>11</v>
      </c>
      <c r="G3" t="s">
        <v>1</v>
      </c>
      <c r="H3">
        <v>408</v>
      </c>
      <c r="I3" t="s">
        <v>3</v>
      </c>
      <c r="J3" t="s">
        <v>11</v>
      </c>
      <c r="L3" t="s">
        <v>1</v>
      </c>
      <c r="M3">
        <v>408</v>
      </c>
      <c r="N3" t="s">
        <v>3</v>
      </c>
      <c r="O3" t="s">
        <v>11</v>
      </c>
    </row>
    <row r="4" spans="2:15" x14ac:dyDescent="0.25"/>
    <row r="5" spans="2:15" x14ac:dyDescent="0.25"/>
    <row r="6" spans="2:15" x14ac:dyDescent="0.25"/>
    <row r="7" spans="2:15" x14ac:dyDescent="0.25"/>
    <row r="8" spans="2:15" x14ac:dyDescent="0.25"/>
    <row r="9" spans="2:15" x14ac:dyDescent="0.25"/>
    <row r="10" spans="2:15" x14ac:dyDescent="0.25"/>
    <row r="11" spans="2:15" x14ac:dyDescent="0.25"/>
    <row r="12" spans="2:15" x14ac:dyDescent="0.25"/>
    <row r="13" spans="2:15" x14ac:dyDescent="0.25">
      <c r="B13" t="s">
        <v>8</v>
      </c>
      <c r="C13">
        <v>362</v>
      </c>
      <c r="D13" t="s">
        <v>0</v>
      </c>
      <c r="E13">
        <v>4</v>
      </c>
      <c r="G13" t="s">
        <v>8</v>
      </c>
      <c r="H13">
        <v>362</v>
      </c>
      <c r="I13" t="s">
        <v>0</v>
      </c>
      <c r="J13">
        <v>8</v>
      </c>
      <c r="L13" t="s">
        <v>8</v>
      </c>
      <c r="M13">
        <v>362</v>
      </c>
      <c r="N13" t="s">
        <v>0</v>
      </c>
      <c r="O13">
        <v>16</v>
      </c>
    </row>
    <row r="14" spans="2:15" x14ac:dyDescent="0.25">
      <c r="B14" t="s">
        <v>1</v>
      </c>
      <c r="C14">
        <v>272</v>
      </c>
      <c r="D14" t="s">
        <v>3</v>
      </c>
      <c r="E14" t="s">
        <v>11</v>
      </c>
      <c r="G14" t="s">
        <v>1</v>
      </c>
      <c r="H14">
        <v>272</v>
      </c>
      <c r="I14" t="s">
        <v>3</v>
      </c>
      <c r="J14" t="s">
        <v>11</v>
      </c>
      <c r="L14" t="s">
        <v>1</v>
      </c>
      <c r="M14">
        <v>272</v>
      </c>
      <c r="N14" t="s">
        <v>3</v>
      </c>
      <c r="O14" t="s">
        <v>11</v>
      </c>
    </row>
    <row r="15" spans="2:15" x14ac:dyDescent="0.25"/>
    <row r="16" spans="2:15" x14ac:dyDescent="0.25"/>
    <row r="17" spans="2:15" x14ac:dyDescent="0.25"/>
    <row r="18" spans="2:15" x14ac:dyDescent="0.25"/>
    <row r="19" spans="2:15" x14ac:dyDescent="0.25"/>
    <row r="20" spans="2:15" x14ac:dyDescent="0.25"/>
    <row r="21" spans="2:15" x14ac:dyDescent="0.25"/>
    <row r="22" spans="2:15" x14ac:dyDescent="0.25"/>
    <row r="23" spans="2:15" x14ac:dyDescent="0.25"/>
    <row r="24" spans="2:15" x14ac:dyDescent="0.25">
      <c r="B24" t="s">
        <v>8</v>
      </c>
      <c r="C24">
        <v>544</v>
      </c>
      <c r="D24" t="s">
        <v>0</v>
      </c>
      <c r="E24">
        <v>4</v>
      </c>
      <c r="G24" t="s">
        <v>8</v>
      </c>
      <c r="H24">
        <v>544</v>
      </c>
      <c r="I24" t="s">
        <v>0</v>
      </c>
      <c r="J24">
        <v>8</v>
      </c>
      <c r="L24" t="s">
        <v>8</v>
      </c>
      <c r="M24">
        <v>544</v>
      </c>
      <c r="N24" t="s">
        <v>0</v>
      </c>
      <c r="O24">
        <v>16</v>
      </c>
    </row>
    <row r="25" spans="2:15" x14ac:dyDescent="0.25">
      <c r="B25" t="s">
        <v>1</v>
      </c>
      <c r="C25">
        <v>408</v>
      </c>
      <c r="D25" t="s">
        <v>3</v>
      </c>
      <c r="E25" t="s">
        <v>12</v>
      </c>
      <c r="G25" t="s">
        <v>1</v>
      </c>
      <c r="H25">
        <v>408</v>
      </c>
      <c r="I25" t="s">
        <v>3</v>
      </c>
      <c r="J25" t="s">
        <v>12</v>
      </c>
      <c r="L25" t="s">
        <v>1</v>
      </c>
      <c r="M25">
        <v>408</v>
      </c>
      <c r="N25" t="s">
        <v>3</v>
      </c>
      <c r="O25" t="s">
        <v>12</v>
      </c>
    </row>
    <row r="26" spans="2:15" x14ac:dyDescent="0.25"/>
    <row r="27" spans="2:15" x14ac:dyDescent="0.25"/>
    <row r="28" spans="2:15" x14ac:dyDescent="0.25"/>
    <row r="29" spans="2:15" x14ac:dyDescent="0.25"/>
    <row r="30" spans="2:15" x14ac:dyDescent="0.25"/>
    <row r="31" spans="2:15" x14ac:dyDescent="0.25"/>
    <row r="32" spans="2:15" x14ac:dyDescent="0.25"/>
    <row r="33" spans="2:15" x14ac:dyDescent="0.25"/>
    <row r="34" spans="2:15" x14ac:dyDescent="0.25"/>
    <row r="35" spans="2:15" x14ac:dyDescent="0.25">
      <c r="B35" t="s">
        <v>8</v>
      </c>
      <c r="C35">
        <v>362</v>
      </c>
      <c r="D35" t="s">
        <v>0</v>
      </c>
      <c r="E35">
        <v>4</v>
      </c>
      <c r="G35" t="s">
        <v>8</v>
      </c>
      <c r="H35">
        <v>362</v>
      </c>
      <c r="I35" t="s">
        <v>0</v>
      </c>
      <c r="J35">
        <v>8</v>
      </c>
      <c r="L35" t="s">
        <v>8</v>
      </c>
      <c r="M35">
        <v>362</v>
      </c>
      <c r="N35" t="s">
        <v>0</v>
      </c>
      <c r="O35">
        <v>16</v>
      </c>
    </row>
    <row r="36" spans="2:15" x14ac:dyDescent="0.25">
      <c r="B36" t="s">
        <v>1</v>
      </c>
      <c r="C36">
        <v>272</v>
      </c>
      <c r="D36" t="s">
        <v>3</v>
      </c>
      <c r="E36" t="s">
        <v>12</v>
      </c>
      <c r="G36" t="s">
        <v>1</v>
      </c>
      <c r="H36">
        <v>272</v>
      </c>
      <c r="I36" t="s">
        <v>3</v>
      </c>
      <c r="J36" t="s">
        <v>12</v>
      </c>
      <c r="L36" t="s">
        <v>1</v>
      </c>
      <c r="M36">
        <v>272</v>
      </c>
      <c r="N36" t="s">
        <v>3</v>
      </c>
      <c r="O36" t="s">
        <v>12</v>
      </c>
    </row>
    <row r="37" spans="2:15" x14ac:dyDescent="0.25"/>
    <row r="38" spans="2:15" x14ac:dyDescent="0.25"/>
    <row r="39" spans="2:15" x14ac:dyDescent="0.25"/>
    <row r="40" spans="2:15" x14ac:dyDescent="0.25"/>
    <row r="41" spans="2:15" x14ac:dyDescent="0.25"/>
    <row r="42" spans="2:15" x14ac:dyDescent="0.25"/>
    <row r="43" spans="2:15" x14ac:dyDescent="0.25"/>
    <row r="44" spans="2:15" x14ac:dyDescent="0.25"/>
    <row r="45" spans="2:15" x14ac:dyDescent="0.25"/>
    <row r="46" spans="2:15" x14ac:dyDescent="0.25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39997558519241921"/>
  </sheetPr>
  <dimension ref="A1:P52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8" width="9.140625" customWidth="1"/>
    <col min="9" max="9" width="10.140625" bestFit="1" customWidth="1"/>
    <col min="10" max="16" width="9.140625" customWidth="1"/>
    <col min="17" max="16384" width="9.140625" hidden="1"/>
  </cols>
  <sheetData>
    <row r="1" spans="2:15" x14ac:dyDescent="0.25"/>
    <row r="2" spans="2:15" x14ac:dyDescent="0.25">
      <c r="B2" t="s">
        <v>8</v>
      </c>
      <c r="C2">
        <v>544</v>
      </c>
      <c r="D2" t="s">
        <v>0</v>
      </c>
      <c r="E2">
        <v>4</v>
      </c>
      <c r="G2" t="s">
        <v>8</v>
      </c>
      <c r="H2">
        <v>544</v>
      </c>
      <c r="I2" t="s">
        <v>0</v>
      </c>
      <c r="J2">
        <v>8</v>
      </c>
      <c r="L2" t="s">
        <v>8</v>
      </c>
      <c r="M2">
        <v>544</v>
      </c>
      <c r="N2" t="s">
        <v>0</v>
      </c>
      <c r="O2">
        <v>16</v>
      </c>
    </row>
    <row r="3" spans="2:15" x14ac:dyDescent="0.25">
      <c r="B3" t="s">
        <v>1</v>
      </c>
      <c r="C3">
        <v>408</v>
      </c>
      <c r="D3" t="s">
        <v>3</v>
      </c>
      <c r="E3" t="s">
        <v>11</v>
      </c>
      <c r="G3" t="s">
        <v>1</v>
      </c>
      <c r="H3">
        <v>408</v>
      </c>
      <c r="I3" t="s">
        <v>3</v>
      </c>
      <c r="J3" t="s">
        <v>11</v>
      </c>
      <c r="L3" t="s">
        <v>1</v>
      </c>
      <c r="M3">
        <v>408</v>
      </c>
      <c r="N3" t="s">
        <v>3</v>
      </c>
      <c r="O3" t="s">
        <v>11</v>
      </c>
    </row>
    <row r="4" spans="2:15" x14ac:dyDescent="0.25"/>
    <row r="5" spans="2:15" x14ac:dyDescent="0.25"/>
    <row r="6" spans="2:15" x14ac:dyDescent="0.25"/>
    <row r="7" spans="2:15" x14ac:dyDescent="0.25"/>
    <row r="8" spans="2:15" x14ac:dyDescent="0.25"/>
    <row r="9" spans="2:15" x14ac:dyDescent="0.25"/>
    <row r="10" spans="2:15" x14ac:dyDescent="0.25"/>
    <row r="11" spans="2:15" x14ac:dyDescent="0.25"/>
    <row r="12" spans="2:15" x14ac:dyDescent="0.25"/>
    <row r="13" spans="2:15" x14ac:dyDescent="0.25">
      <c r="B13" s="3" t="s">
        <v>8</v>
      </c>
      <c r="C13" s="3">
        <v>362</v>
      </c>
      <c r="D13" s="3" t="s">
        <v>0</v>
      </c>
      <c r="E13" s="3">
        <v>4</v>
      </c>
      <c r="G13" t="s">
        <v>8</v>
      </c>
      <c r="H13">
        <v>362</v>
      </c>
      <c r="I13" t="s">
        <v>0</v>
      </c>
      <c r="J13">
        <v>8</v>
      </c>
      <c r="L13" t="s">
        <v>8</v>
      </c>
      <c r="M13">
        <v>362</v>
      </c>
      <c r="N13" t="s">
        <v>0</v>
      </c>
      <c r="O13">
        <v>16</v>
      </c>
    </row>
    <row r="14" spans="2:15" x14ac:dyDescent="0.25">
      <c r="B14" s="3" t="s">
        <v>1</v>
      </c>
      <c r="C14" s="3">
        <v>272</v>
      </c>
      <c r="D14" s="3" t="s">
        <v>3</v>
      </c>
      <c r="E14" s="3" t="s">
        <v>11</v>
      </c>
      <c r="G14" t="s">
        <v>1</v>
      </c>
      <c r="H14">
        <v>272</v>
      </c>
      <c r="I14" t="s">
        <v>3</v>
      </c>
      <c r="J14" t="s">
        <v>11</v>
      </c>
      <c r="L14" t="s">
        <v>1</v>
      </c>
      <c r="M14">
        <v>272</v>
      </c>
      <c r="N14" t="s">
        <v>3</v>
      </c>
      <c r="O14" t="s">
        <v>11</v>
      </c>
    </row>
    <row r="15" spans="2:15" x14ac:dyDescent="0.25"/>
    <row r="16" spans="2:15" x14ac:dyDescent="0.25"/>
    <row r="17" spans="2:15" x14ac:dyDescent="0.25"/>
    <row r="18" spans="2:15" x14ac:dyDescent="0.25"/>
    <row r="19" spans="2:15" x14ac:dyDescent="0.25"/>
    <row r="20" spans="2:15" x14ac:dyDescent="0.25"/>
    <row r="21" spans="2:15" x14ac:dyDescent="0.25"/>
    <row r="22" spans="2:15" x14ac:dyDescent="0.25"/>
    <row r="23" spans="2:15" x14ac:dyDescent="0.25"/>
    <row r="24" spans="2:15" x14ac:dyDescent="0.25">
      <c r="B24" t="s">
        <v>8</v>
      </c>
      <c r="C24">
        <v>544</v>
      </c>
      <c r="D24" t="s">
        <v>0</v>
      </c>
      <c r="E24">
        <v>4</v>
      </c>
      <c r="G24" t="s">
        <v>8</v>
      </c>
      <c r="H24">
        <v>544</v>
      </c>
      <c r="I24" t="s">
        <v>0</v>
      </c>
      <c r="J24">
        <v>8</v>
      </c>
      <c r="L24" t="s">
        <v>8</v>
      </c>
      <c r="M24">
        <v>544</v>
      </c>
      <c r="N24" t="s">
        <v>0</v>
      </c>
      <c r="O24">
        <v>16</v>
      </c>
    </row>
    <row r="25" spans="2:15" x14ac:dyDescent="0.25">
      <c r="B25" t="s">
        <v>1</v>
      </c>
      <c r="C25">
        <v>408</v>
      </c>
      <c r="D25" t="s">
        <v>3</v>
      </c>
      <c r="E25" t="s">
        <v>12</v>
      </c>
      <c r="G25" t="s">
        <v>1</v>
      </c>
      <c r="H25">
        <v>408</v>
      </c>
      <c r="I25" t="s">
        <v>3</v>
      </c>
      <c r="J25" t="s">
        <v>12</v>
      </c>
      <c r="L25" t="s">
        <v>1</v>
      </c>
      <c r="M25">
        <v>408</v>
      </c>
      <c r="N25" t="s">
        <v>3</v>
      </c>
      <c r="O25" t="s">
        <v>12</v>
      </c>
    </row>
    <row r="26" spans="2:15" x14ac:dyDescent="0.25"/>
    <row r="27" spans="2:15" x14ac:dyDescent="0.25"/>
    <row r="28" spans="2:15" x14ac:dyDescent="0.25"/>
    <row r="29" spans="2:15" x14ac:dyDescent="0.25"/>
    <row r="30" spans="2:15" x14ac:dyDescent="0.25"/>
    <row r="31" spans="2:15" x14ac:dyDescent="0.25"/>
    <row r="32" spans="2:15" x14ac:dyDescent="0.25"/>
    <row r="33" spans="2:15" x14ac:dyDescent="0.25"/>
    <row r="34" spans="2:15" x14ac:dyDescent="0.25"/>
    <row r="35" spans="2:15" x14ac:dyDescent="0.25">
      <c r="B35" s="6" t="s">
        <v>8</v>
      </c>
      <c r="C35" s="6">
        <v>362</v>
      </c>
      <c r="D35" s="6" t="s">
        <v>0</v>
      </c>
      <c r="E35" s="6">
        <v>4</v>
      </c>
      <c r="G35" t="s">
        <v>8</v>
      </c>
      <c r="H35">
        <v>362</v>
      </c>
      <c r="I35" t="s">
        <v>0</v>
      </c>
      <c r="J35">
        <v>8</v>
      </c>
      <c r="L35" t="s">
        <v>8</v>
      </c>
      <c r="M35">
        <v>362</v>
      </c>
      <c r="N35" t="s">
        <v>0</v>
      </c>
      <c r="O35">
        <v>16</v>
      </c>
    </row>
    <row r="36" spans="2:15" x14ac:dyDescent="0.25">
      <c r="B36" s="6" t="s">
        <v>1</v>
      </c>
      <c r="C36" s="6">
        <v>272</v>
      </c>
      <c r="D36" s="6" t="s">
        <v>3</v>
      </c>
      <c r="E36" s="6" t="s">
        <v>12</v>
      </c>
      <c r="G36" t="s">
        <v>1</v>
      </c>
      <c r="H36">
        <v>272</v>
      </c>
      <c r="I36" t="s">
        <v>3</v>
      </c>
      <c r="J36" t="s">
        <v>12</v>
      </c>
      <c r="L36" t="s">
        <v>1</v>
      </c>
      <c r="M36">
        <v>272</v>
      </c>
      <c r="N36" t="s">
        <v>3</v>
      </c>
      <c r="O36" t="s">
        <v>12</v>
      </c>
    </row>
    <row r="37" spans="2:15" x14ac:dyDescent="0.25">
      <c r="B37" s="6"/>
      <c r="C37" s="6"/>
      <c r="D37" s="6"/>
      <c r="E37" s="6"/>
    </row>
    <row r="38" spans="2:15" x14ac:dyDescent="0.25"/>
    <row r="39" spans="2:15" x14ac:dyDescent="0.25"/>
    <row r="40" spans="2:15" x14ac:dyDescent="0.25"/>
    <row r="41" spans="2:15" x14ac:dyDescent="0.25"/>
    <row r="42" spans="2:15" x14ac:dyDescent="0.25"/>
    <row r="43" spans="2:15" x14ac:dyDescent="0.25"/>
    <row r="44" spans="2:15" x14ac:dyDescent="0.25"/>
    <row r="45" spans="2:15" x14ac:dyDescent="0.25"/>
    <row r="46" spans="2:15" x14ac:dyDescent="0.25"/>
    <row r="47" spans="2:15" ht="15" hidden="1" customHeight="1" x14ac:dyDescent="0.25"/>
    <row r="48" spans="2:15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B155-4156-40FF-895C-8E20FCFFF619}">
  <sheetPr codeName="Sheet5">
    <tabColor theme="9" tint="-0.249977111117893"/>
  </sheetPr>
  <dimension ref="A1:N44"/>
  <sheetViews>
    <sheetView showGridLines="0" zoomScale="85" zoomScaleNormal="85" workbookViewId="0"/>
  </sheetViews>
  <sheetFormatPr defaultColWidth="0" defaultRowHeight="15" zeroHeight="1" x14ac:dyDescent="0.25"/>
  <cols>
    <col min="1" max="3" width="9.140625" customWidth="1"/>
    <col min="4" max="4" width="9.28515625" customWidth="1"/>
    <col min="5" max="5" width="12.42578125" customWidth="1"/>
    <col min="6" max="6" width="9.140625" hidden="1" customWidth="1"/>
    <col min="7" max="7" width="13.140625" customWidth="1"/>
    <col min="8" max="8" width="7.7109375" customWidth="1"/>
    <col min="9" max="9" width="12.7109375" customWidth="1"/>
    <col min="10" max="10" width="11.140625" customWidth="1"/>
    <col min="11" max="12" width="12" customWidth="1"/>
    <col min="13" max="13" width="3.5703125" customWidth="1"/>
    <col min="14" max="14" width="0" hidden="1" customWidth="1"/>
    <col min="15" max="16384" width="9.140625" hidden="1"/>
  </cols>
  <sheetData>
    <row r="1" spans="1:12" x14ac:dyDescent="0.25">
      <c r="A1" t="s">
        <v>9</v>
      </c>
      <c r="B1" t="s">
        <v>0</v>
      </c>
      <c r="C1" t="s">
        <v>8</v>
      </c>
      <c r="D1" t="s">
        <v>1</v>
      </c>
      <c r="E1" t="s">
        <v>2</v>
      </c>
      <c r="F1" t="s">
        <v>123</v>
      </c>
      <c r="G1" t="s">
        <v>3</v>
      </c>
      <c r="H1" t="s">
        <v>5</v>
      </c>
      <c r="I1" t="s">
        <v>6</v>
      </c>
      <c r="J1" t="s">
        <v>7</v>
      </c>
      <c r="K1" t="s">
        <v>4</v>
      </c>
      <c r="L1" t="s">
        <v>124</v>
      </c>
    </row>
    <row r="2" spans="1:12" x14ac:dyDescent="0.25">
      <c r="A2" t="s">
        <v>13</v>
      </c>
      <c r="B2">
        <v>16</v>
      </c>
      <c r="C2">
        <v>544</v>
      </c>
      <c r="D2">
        <v>408</v>
      </c>
      <c r="E2">
        <v>0.01</v>
      </c>
      <c r="F2" t="s">
        <v>64</v>
      </c>
      <c r="G2" t="str">
        <f t="shared" ref="G2:G37" si="0">IF(RIGHT(LEFT(F2,47),4)="Adam","Adam","SGD")</f>
        <v>Adam</v>
      </c>
      <c r="H2" s="2">
        <v>693.33696722984303</v>
      </c>
      <c r="I2" s="1">
        <v>4.7766459579141696</v>
      </c>
      <c r="J2" s="1">
        <v>6.49813286463419</v>
      </c>
      <c r="K2" s="1">
        <v>4.6317749553256498</v>
      </c>
      <c r="L2" s="1">
        <f>SQRT(Table3[[#This Row],[Test_loss]])</f>
        <v>2.1521558854612857</v>
      </c>
    </row>
    <row r="3" spans="1:12" x14ac:dyDescent="0.25">
      <c r="A3" t="s">
        <v>13</v>
      </c>
      <c r="B3">
        <v>4</v>
      </c>
      <c r="C3">
        <v>544</v>
      </c>
      <c r="D3">
        <v>408</v>
      </c>
      <c r="E3">
        <v>0.1</v>
      </c>
      <c r="F3" t="s">
        <v>50</v>
      </c>
      <c r="G3" t="str">
        <f t="shared" si="0"/>
        <v>Adam</v>
      </c>
      <c r="H3" s="2">
        <v>586.44914984702996</v>
      </c>
      <c r="I3" s="1">
        <v>3.96770863890313</v>
      </c>
      <c r="J3" s="1">
        <v>6.4312583851186798</v>
      </c>
      <c r="K3" s="1">
        <v>4.9839108837278197</v>
      </c>
      <c r="L3" s="1">
        <f>SQRT(Table3[[#This Row],[Test_loss]])</f>
        <v>2.2324674429267315</v>
      </c>
    </row>
    <row r="4" spans="1:12" x14ac:dyDescent="0.25">
      <c r="A4" s="6" t="s">
        <v>13</v>
      </c>
      <c r="B4" s="6">
        <v>4</v>
      </c>
      <c r="C4" s="6">
        <v>544</v>
      </c>
      <c r="D4" s="6">
        <v>408</v>
      </c>
      <c r="E4" s="6">
        <v>1E-3</v>
      </c>
      <c r="F4" s="6" t="s">
        <v>74</v>
      </c>
      <c r="G4" s="6" t="str">
        <f t="shared" si="0"/>
        <v>Adam</v>
      </c>
      <c r="H4" s="7">
        <v>518.68672966957001</v>
      </c>
      <c r="I4" s="8">
        <v>4.8900296121542697</v>
      </c>
      <c r="J4" s="8">
        <v>6.4453163476366697</v>
      </c>
      <c r="K4" s="8">
        <v>5.0387860073855002</v>
      </c>
      <c r="L4" s="8">
        <f>SQRT(Table3[[#This Row],[Test_loss]])</f>
        <v>2.2447240381359799</v>
      </c>
    </row>
    <row r="5" spans="1:12" x14ac:dyDescent="0.25">
      <c r="A5" s="3" t="s">
        <v>13</v>
      </c>
      <c r="B5" s="3">
        <v>4</v>
      </c>
      <c r="C5" s="3">
        <v>544</v>
      </c>
      <c r="D5" s="3">
        <v>408</v>
      </c>
      <c r="E5" s="3">
        <v>0.01</v>
      </c>
      <c r="F5" s="3" t="s">
        <v>62</v>
      </c>
      <c r="G5" s="3" t="str">
        <f t="shared" si="0"/>
        <v>Adam</v>
      </c>
      <c r="H5" s="4">
        <v>481.41003060340802</v>
      </c>
      <c r="I5" s="5">
        <v>5.1450212026844504</v>
      </c>
      <c r="J5" s="5">
        <v>6.3886033759305301</v>
      </c>
      <c r="K5" s="5">
        <v>5.6147699418820798</v>
      </c>
      <c r="L5" s="5">
        <f>SQRT(Table3[[#This Row],[Test_loss]])</f>
        <v>2.3695505780383925</v>
      </c>
    </row>
    <row r="6" spans="1:12" x14ac:dyDescent="0.25">
      <c r="A6" s="6" t="s">
        <v>13</v>
      </c>
      <c r="B6" s="6">
        <v>16</v>
      </c>
      <c r="C6" s="6">
        <v>544</v>
      </c>
      <c r="D6" s="6">
        <v>408</v>
      </c>
      <c r="E6" s="6">
        <v>1E-3</v>
      </c>
      <c r="F6" s="6" t="s">
        <v>76</v>
      </c>
      <c r="G6" s="6" t="str">
        <f t="shared" si="0"/>
        <v>Adam</v>
      </c>
      <c r="H6" s="7">
        <v>717.79101371765103</v>
      </c>
      <c r="I6" s="8">
        <v>5.5138386335128304</v>
      </c>
      <c r="J6" s="8">
        <v>5.9056205484602096</v>
      </c>
      <c r="K6" s="8">
        <v>5.6163779629601303</v>
      </c>
      <c r="L6" s="8">
        <f>SQRT(Table3[[#This Row],[Test_loss]])</f>
        <v>2.3698898630442997</v>
      </c>
    </row>
    <row r="7" spans="1:12" x14ac:dyDescent="0.25">
      <c r="A7" t="s">
        <v>13</v>
      </c>
      <c r="B7">
        <v>16</v>
      </c>
      <c r="C7">
        <v>544</v>
      </c>
      <c r="D7">
        <v>408</v>
      </c>
      <c r="E7">
        <v>0.1</v>
      </c>
      <c r="F7" t="s">
        <v>52</v>
      </c>
      <c r="G7" t="str">
        <f t="shared" si="0"/>
        <v>Adam</v>
      </c>
      <c r="H7" s="2">
        <v>694.68211078643799</v>
      </c>
      <c r="I7" s="1">
        <v>4.9897171177647301</v>
      </c>
      <c r="J7" s="1">
        <v>7.2948522037929902</v>
      </c>
      <c r="K7" s="1">
        <v>5.6902155346340599</v>
      </c>
      <c r="L7" s="1">
        <f>SQRT(Table3[[#This Row],[Test_loss]])</f>
        <v>2.385417266356991</v>
      </c>
    </row>
    <row r="8" spans="1:12" x14ac:dyDescent="0.25">
      <c r="A8" t="s">
        <v>13</v>
      </c>
      <c r="B8">
        <v>8</v>
      </c>
      <c r="C8">
        <v>544</v>
      </c>
      <c r="D8">
        <v>408</v>
      </c>
      <c r="E8">
        <v>1E-3</v>
      </c>
      <c r="F8" t="s">
        <v>75</v>
      </c>
      <c r="G8" t="str">
        <f t="shared" si="0"/>
        <v>Adam</v>
      </c>
      <c r="H8" s="2">
        <v>483.995243310928</v>
      </c>
      <c r="I8" s="1">
        <v>5.8696766475613096</v>
      </c>
      <c r="J8" s="1">
        <v>6.8453249805851897</v>
      </c>
      <c r="K8" s="1">
        <v>5.8197048086869003</v>
      </c>
      <c r="L8" s="1">
        <f>SQRT(Table3[[#This Row],[Test_loss]])</f>
        <v>2.4124064352191779</v>
      </c>
    </row>
    <row r="9" spans="1:12" x14ac:dyDescent="0.25">
      <c r="A9" t="s">
        <v>13</v>
      </c>
      <c r="B9">
        <v>8</v>
      </c>
      <c r="C9">
        <v>544</v>
      </c>
      <c r="D9">
        <v>408</v>
      </c>
      <c r="E9">
        <v>1E-3</v>
      </c>
      <c r="F9" t="s">
        <v>81</v>
      </c>
      <c r="G9" t="str">
        <f t="shared" si="0"/>
        <v>SGD</v>
      </c>
      <c r="H9" s="2">
        <v>502.82370758056601</v>
      </c>
      <c r="I9" s="1">
        <v>7.0600226764947598</v>
      </c>
      <c r="J9" s="1">
        <v>6.9058307848478604</v>
      </c>
      <c r="K9" s="1">
        <v>5.9723330673418502</v>
      </c>
      <c r="L9" s="1">
        <f>SQRT(Table3[[#This Row],[Test_loss]])</f>
        <v>2.443835728387211</v>
      </c>
    </row>
    <row r="10" spans="1:12" x14ac:dyDescent="0.25">
      <c r="A10" t="s">
        <v>13</v>
      </c>
      <c r="B10">
        <v>4</v>
      </c>
      <c r="C10">
        <v>544</v>
      </c>
      <c r="D10">
        <v>408</v>
      </c>
      <c r="E10">
        <v>1E-3</v>
      </c>
      <c r="F10" t="s">
        <v>80</v>
      </c>
      <c r="G10" t="str">
        <f t="shared" si="0"/>
        <v>SGD</v>
      </c>
      <c r="H10" s="2">
        <v>485.14142918586703</v>
      </c>
      <c r="I10" s="1">
        <v>5.5293366291275801</v>
      </c>
      <c r="J10" s="1">
        <v>7.1454583406448302</v>
      </c>
      <c r="K10" s="1">
        <v>6.1999840359938698</v>
      </c>
      <c r="L10" s="1">
        <f>SQRT(Table3[[#This Row],[Test_loss]])</f>
        <v>2.4899767139461102</v>
      </c>
    </row>
    <row r="11" spans="1:12" x14ac:dyDescent="0.25">
      <c r="A11" t="s">
        <v>13</v>
      </c>
      <c r="B11">
        <v>8</v>
      </c>
      <c r="C11">
        <v>544</v>
      </c>
      <c r="D11">
        <v>408</v>
      </c>
      <c r="E11">
        <v>0.1</v>
      </c>
      <c r="F11" t="s">
        <v>51</v>
      </c>
      <c r="G11" t="str">
        <f t="shared" si="0"/>
        <v>Adam</v>
      </c>
      <c r="H11" s="2">
        <v>542.95989990234295</v>
      </c>
      <c r="I11" s="1">
        <v>6.0229237986282502</v>
      </c>
      <c r="J11" s="1">
        <v>7.0925225411590702</v>
      </c>
      <c r="K11" s="1">
        <v>6.3303696607288504</v>
      </c>
      <c r="L11" s="1">
        <f>SQRT(Table3[[#This Row],[Test_loss]])</f>
        <v>2.5160225874838344</v>
      </c>
    </row>
    <row r="12" spans="1:12" x14ac:dyDescent="0.25">
      <c r="A12" t="s">
        <v>13</v>
      </c>
      <c r="B12">
        <v>8</v>
      </c>
      <c r="C12">
        <v>544</v>
      </c>
      <c r="D12">
        <v>408</v>
      </c>
      <c r="E12">
        <v>0.01</v>
      </c>
      <c r="F12" t="s">
        <v>63</v>
      </c>
      <c r="G12" t="str">
        <f t="shared" si="0"/>
        <v>Adam</v>
      </c>
      <c r="H12" s="2">
        <v>484.68071866035399</v>
      </c>
      <c r="I12" s="1">
        <v>6.2132623195648096</v>
      </c>
      <c r="J12" s="1">
        <v>8.5683739185333199</v>
      </c>
      <c r="K12" s="1">
        <v>6.7762316277152603</v>
      </c>
      <c r="L12" s="1">
        <f>SQRT(Table3[[#This Row],[Test_loss]])</f>
        <v>2.6031195953538631</v>
      </c>
    </row>
    <row r="13" spans="1:12" x14ac:dyDescent="0.25">
      <c r="A13" t="s">
        <v>13</v>
      </c>
      <c r="B13">
        <v>8</v>
      </c>
      <c r="C13">
        <v>362</v>
      </c>
      <c r="D13">
        <v>272</v>
      </c>
      <c r="E13">
        <v>0.1</v>
      </c>
      <c r="F13" t="s">
        <v>54</v>
      </c>
      <c r="G13" t="str">
        <f t="shared" si="0"/>
        <v>Adam</v>
      </c>
      <c r="H13" s="2">
        <v>601.02745938300995</v>
      </c>
      <c r="I13" s="1">
        <v>5.7008654486965096</v>
      </c>
      <c r="J13" s="1">
        <v>9.9707029618714902</v>
      </c>
      <c r="K13" s="1">
        <v>7.1331642866134599</v>
      </c>
      <c r="L13" s="1">
        <f>SQRT(Table3[[#This Row],[Test_loss]])</f>
        <v>2.6707984361635115</v>
      </c>
    </row>
    <row r="14" spans="1:12" x14ac:dyDescent="0.25">
      <c r="A14" t="s">
        <v>13</v>
      </c>
      <c r="B14">
        <v>4</v>
      </c>
      <c r="C14">
        <v>362</v>
      </c>
      <c r="D14">
        <v>272</v>
      </c>
      <c r="E14">
        <v>0.1</v>
      </c>
      <c r="F14" t="s">
        <v>53</v>
      </c>
      <c r="G14" t="str">
        <f t="shared" si="0"/>
        <v>Adam</v>
      </c>
      <c r="H14" s="2">
        <v>485.28794598579401</v>
      </c>
      <c r="I14" s="1">
        <v>6.4841906809005403</v>
      </c>
      <c r="J14" s="1">
        <v>8.6047525798019606</v>
      </c>
      <c r="K14" s="1">
        <v>7.2310146093368504</v>
      </c>
      <c r="L14" s="1">
        <f>SQRT(Table3[[#This Row],[Test_loss]])</f>
        <v>2.6890545939673389</v>
      </c>
    </row>
    <row r="15" spans="1:12" x14ac:dyDescent="0.25">
      <c r="A15" t="s">
        <v>13</v>
      </c>
      <c r="B15">
        <v>4</v>
      </c>
      <c r="C15">
        <v>362</v>
      </c>
      <c r="D15">
        <v>272</v>
      </c>
      <c r="E15">
        <v>1E-3</v>
      </c>
      <c r="F15" t="s">
        <v>77</v>
      </c>
      <c r="G15" t="str">
        <f t="shared" si="0"/>
        <v>Adam</v>
      </c>
      <c r="H15" s="2">
        <v>415.32787489891001</v>
      </c>
      <c r="I15" s="1">
        <v>5.6944933094125796</v>
      </c>
      <c r="J15" s="1">
        <v>10.1956030742118</v>
      </c>
      <c r="K15" s="1">
        <v>7.3973171852136899</v>
      </c>
      <c r="L15" s="1">
        <f>SQRT(Table3[[#This Row],[Test_loss]])</f>
        <v>2.7198009458807255</v>
      </c>
    </row>
    <row r="16" spans="1:12" x14ac:dyDescent="0.25">
      <c r="A16" t="s">
        <v>13</v>
      </c>
      <c r="B16">
        <v>8</v>
      </c>
      <c r="C16">
        <v>362</v>
      </c>
      <c r="D16">
        <v>272</v>
      </c>
      <c r="E16">
        <v>1E-3</v>
      </c>
      <c r="F16" t="s">
        <v>78</v>
      </c>
      <c r="G16" t="str">
        <f t="shared" si="0"/>
        <v>Adam</v>
      </c>
      <c r="H16" s="2">
        <v>576.71444821357704</v>
      </c>
      <c r="I16" s="1">
        <v>5.1567572200365603</v>
      </c>
      <c r="J16" s="1">
        <v>9.7273464453847698</v>
      </c>
      <c r="K16" s="1">
        <v>7.4916755462947604</v>
      </c>
      <c r="L16" s="1">
        <f>SQRT(Table3[[#This Row],[Test_loss]])</f>
        <v>2.7370925352086219</v>
      </c>
    </row>
    <row r="17" spans="1:12" x14ac:dyDescent="0.25">
      <c r="A17" t="s">
        <v>13</v>
      </c>
      <c r="B17">
        <v>4</v>
      </c>
      <c r="C17">
        <v>544</v>
      </c>
      <c r="D17">
        <v>408</v>
      </c>
      <c r="E17">
        <v>0.1</v>
      </c>
      <c r="F17" t="s">
        <v>56</v>
      </c>
      <c r="G17" t="str">
        <f t="shared" si="0"/>
        <v>SGD</v>
      </c>
      <c r="H17" s="2">
        <v>260.14373350143399</v>
      </c>
      <c r="I17" s="1">
        <v>8.5623681551935906</v>
      </c>
      <c r="J17" s="1">
        <v>8.4868400049836996</v>
      </c>
      <c r="K17" s="1">
        <v>7.5105462199763204</v>
      </c>
      <c r="L17" s="1">
        <f>SQRT(Table3[[#This Row],[Test_loss]])</f>
        <v>2.7405375786469923</v>
      </c>
    </row>
    <row r="18" spans="1:12" x14ac:dyDescent="0.25">
      <c r="A18" t="s">
        <v>13</v>
      </c>
      <c r="B18">
        <v>4</v>
      </c>
      <c r="C18">
        <v>362</v>
      </c>
      <c r="D18">
        <v>272</v>
      </c>
      <c r="E18">
        <v>0.1</v>
      </c>
      <c r="F18" t="s">
        <v>59</v>
      </c>
      <c r="G18" t="str">
        <f t="shared" si="0"/>
        <v>SGD</v>
      </c>
      <c r="H18" s="2">
        <v>337.32925939559902</v>
      </c>
      <c r="I18" s="1">
        <v>7.1049935451241701</v>
      </c>
      <c r="J18" s="1">
        <v>9.5062888111723094</v>
      </c>
      <c r="K18" s="1">
        <v>7.7327246195391597</v>
      </c>
      <c r="L18" s="1">
        <f>SQRT(Table3[[#This Row],[Test_loss]])</f>
        <v>2.7807777004894079</v>
      </c>
    </row>
    <row r="19" spans="1:12" x14ac:dyDescent="0.25">
      <c r="A19" t="s">
        <v>13</v>
      </c>
      <c r="B19">
        <v>8</v>
      </c>
      <c r="C19">
        <v>544</v>
      </c>
      <c r="D19">
        <v>408</v>
      </c>
      <c r="E19">
        <v>0.1</v>
      </c>
      <c r="F19" t="s">
        <v>57</v>
      </c>
      <c r="G19" t="str">
        <f t="shared" si="0"/>
        <v>SGD</v>
      </c>
      <c r="H19" s="2">
        <v>465.02934908866803</v>
      </c>
      <c r="I19" s="1">
        <v>8.7278098202823209</v>
      </c>
      <c r="J19" s="1">
        <v>9.3820127186022297</v>
      </c>
      <c r="K19" s="1">
        <v>7.7655220031738201</v>
      </c>
      <c r="L19" s="1">
        <f>SQRT(Table3[[#This Row],[Test_loss]])</f>
        <v>2.7866686209834532</v>
      </c>
    </row>
    <row r="20" spans="1:12" x14ac:dyDescent="0.25">
      <c r="A20" t="s">
        <v>13</v>
      </c>
      <c r="B20">
        <v>4</v>
      </c>
      <c r="C20">
        <v>362</v>
      </c>
      <c r="D20">
        <v>272</v>
      </c>
      <c r="E20">
        <v>0.01</v>
      </c>
      <c r="F20" t="s">
        <v>65</v>
      </c>
      <c r="G20" t="str">
        <f t="shared" si="0"/>
        <v>Adam</v>
      </c>
      <c r="H20" s="2">
        <v>488.36494731903002</v>
      </c>
      <c r="I20" s="1">
        <v>5.4959300811968497</v>
      </c>
      <c r="J20" s="1">
        <v>11.0451923687207</v>
      </c>
      <c r="K20" s="1">
        <v>7.9644033908843896</v>
      </c>
      <c r="L20" s="1">
        <f>SQRT(Table3[[#This Row],[Test_loss]])</f>
        <v>2.8221274582988611</v>
      </c>
    </row>
    <row r="21" spans="1:12" x14ac:dyDescent="0.25">
      <c r="A21" t="s">
        <v>13</v>
      </c>
      <c r="B21">
        <v>4</v>
      </c>
      <c r="C21">
        <v>544</v>
      </c>
      <c r="D21">
        <v>408</v>
      </c>
      <c r="E21">
        <v>0.01</v>
      </c>
      <c r="F21" t="s">
        <v>68</v>
      </c>
      <c r="G21" t="str">
        <f t="shared" si="0"/>
        <v>SGD</v>
      </c>
      <c r="H21" s="2">
        <v>398.02300810813898</v>
      </c>
      <c r="I21" s="1">
        <v>8.0553305558129793</v>
      </c>
      <c r="J21" s="1">
        <v>9.2300866905011603</v>
      </c>
      <c r="K21" s="1">
        <v>8.3549127437566408</v>
      </c>
      <c r="L21" s="1">
        <f>SQRT(Table3[[#This Row],[Test_loss]])</f>
        <v>2.8904865929038039</v>
      </c>
    </row>
    <row r="22" spans="1:12" x14ac:dyDescent="0.25">
      <c r="A22" t="s">
        <v>13</v>
      </c>
      <c r="B22">
        <v>16</v>
      </c>
      <c r="C22">
        <v>362</v>
      </c>
      <c r="D22">
        <v>272</v>
      </c>
      <c r="E22">
        <v>1E-3</v>
      </c>
      <c r="F22" t="s">
        <v>79</v>
      </c>
      <c r="G22" t="str">
        <f t="shared" si="0"/>
        <v>Adam</v>
      </c>
      <c r="H22" s="2">
        <v>664.23241543769802</v>
      </c>
      <c r="I22" s="1">
        <v>7.5474123479294297</v>
      </c>
      <c r="J22" s="1">
        <v>10.192635006374701</v>
      </c>
      <c r="K22" s="1">
        <v>8.3846702045864507</v>
      </c>
      <c r="L22" s="1">
        <f>SQRT(Table3[[#This Row],[Test_loss]])</f>
        <v>2.8956295005726216</v>
      </c>
    </row>
    <row r="23" spans="1:12" x14ac:dyDescent="0.25">
      <c r="A23" t="s">
        <v>13</v>
      </c>
      <c r="B23">
        <v>4</v>
      </c>
      <c r="C23">
        <v>362</v>
      </c>
      <c r="D23">
        <v>272</v>
      </c>
      <c r="E23">
        <v>0.01</v>
      </c>
      <c r="F23" t="s">
        <v>71</v>
      </c>
      <c r="G23" t="str">
        <f t="shared" si="0"/>
        <v>SGD</v>
      </c>
      <c r="H23" s="2">
        <v>337.328796863555</v>
      </c>
      <c r="I23" s="1">
        <v>8.2885767041134208</v>
      </c>
      <c r="J23" s="1">
        <v>10.160505442242799</v>
      </c>
      <c r="K23" s="1">
        <v>8.4550167431956798</v>
      </c>
      <c r="L23" s="1">
        <f>SQRT(Table3[[#This Row],[Test_loss]])</f>
        <v>2.9077511487738561</v>
      </c>
    </row>
    <row r="24" spans="1:12" x14ac:dyDescent="0.25">
      <c r="A24" t="s">
        <v>13</v>
      </c>
      <c r="B24">
        <v>8</v>
      </c>
      <c r="C24">
        <v>362</v>
      </c>
      <c r="D24">
        <v>272</v>
      </c>
      <c r="E24">
        <v>0.01</v>
      </c>
      <c r="F24" t="s">
        <v>66</v>
      </c>
      <c r="G24" t="str">
        <f t="shared" si="0"/>
        <v>Adam</v>
      </c>
      <c r="H24" s="2">
        <v>449.63012051582302</v>
      </c>
      <c r="I24" s="1">
        <v>7.8288677564808999</v>
      </c>
      <c r="J24" s="1">
        <v>12.0114014274195</v>
      </c>
      <c r="K24" s="1">
        <v>8.8180271010649793</v>
      </c>
      <c r="L24" s="1">
        <f>SQRT(Table3[[#This Row],[Test_loss]])</f>
        <v>2.9695163075937097</v>
      </c>
    </row>
    <row r="25" spans="1:12" x14ac:dyDescent="0.25">
      <c r="A25" t="s">
        <v>13</v>
      </c>
      <c r="B25">
        <v>4</v>
      </c>
      <c r="C25">
        <v>362</v>
      </c>
      <c r="D25">
        <v>272</v>
      </c>
      <c r="E25">
        <v>1E-3</v>
      </c>
      <c r="F25" t="s">
        <v>83</v>
      </c>
      <c r="G25" t="str">
        <f t="shared" si="0"/>
        <v>SGD</v>
      </c>
      <c r="H25" s="2">
        <v>391.82067465782097</v>
      </c>
      <c r="I25" s="1">
        <v>7.1117136166209196</v>
      </c>
      <c r="J25" s="1">
        <v>10.242014213612199</v>
      </c>
      <c r="K25" s="1">
        <v>8.8817072510719299</v>
      </c>
      <c r="L25" s="1">
        <f>SQRT(Table3[[#This Row],[Test_loss]])</f>
        <v>2.9802193293568058</v>
      </c>
    </row>
    <row r="26" spans="1:12" x14ac:dyDescent="0.25">
      <c r="A26" t="s">
        <v>13</v>
      </c>
      <c r="B26">
        <v>16</v>
      </c>
      <c r="C26">
        <v>544</v>
      </c>
      <c r="D26">
        <v>408</v>
      </c>
      <c r="E26">
        <v>0.1</v>
      </c>
      <c r="F26" t="s">
        <v>58</v>
      </c>
      <c r="G26" t="str">
        <f t="shared" si="0"/>
        <v>SGD</v>
      </c>
      <c r="H26" s="2">
        <v>693.12063193321205</v>
      </c>
      <c r="I26" s="1">
        <v>9.7503220335370795</v>
      </c>
      <c r="J26" s="1">
        <v>10.7437943882412</v>
      </c>
      <c r="K26" s="1">
        <v>9.5453365114000093</v>
      </c>
      <c r="L26" s="1">
        <f>SQRT(Table3[[#This Row],[Test_loss]])</f>
        <v>3.0895528011995537</v>
      </c>
    </row>
    <row r="27" spans="1:12" x14ac:dyDescent="0.25">
      <c r="A27" t="s">
        <v>13</v>
      </c>
      <c r="B27">
        <v>16</v>
      </c>
      <c r="C27">
        <v>362</v>
      </c>
      <c r="D27">
        <v>272</v>
      </c>
      <c r="E27">
        <v>0.1</v>
      </c>
      <c r="F27" t="s">
        <v>55</v>
      </c>
      <c r="G27" t="str">
        <f t="shared" si="0"/>
        <v>Adam</v>
      </c>
      <c r="H27" s="2">
        <v>404.60145211219702</v>
      </c>
      <c r="I27" s="1">
        <v>8.9707826114448004</v>
      </c>
      <c r="J27" s="1">
        <v>12.330426639980701</v>
      </c>
      <c r="K27" s="1">
        <v>9.5745697021484304</v>
      </c>
      <c r="L27" s="1">
        <f>SQRT(Table3[[#This Row],[Test_loss]])</f>
        <v>3.0942801589624089</v>
      </c>
    </row>
    <row r="28" spans="1:12" x14ac:dyDescent="0.25">
      <c r="A28" t="s">
        <v>13</v>
      </c>
      <c r="B28">
        <v>8</v>
      </c>
      <c r="C28">
        <v>544</v>
      </c>
      <c r="D28">
        <v>408</v>
      </c>
      <c r="E28">
        <v>0.01</v>
      </c>
      <c r="F28" t="s">
        <v>69</v>
      </c>
      <c r="G28" t="str">
        <f t="shared" si="0"/>
        <v>SGD</v>
      </c>
      <c r="H28" s="2">
        <v>526.05234432220402</v>
      </c>
      <c r="I28" s="1">
        <v>9.9989607669937701</v>
      </c>
      <c r="J28" s="1">
        <v>11.3622715849625</v>
      </c>
      <c r="K28" s="1">
        <v>9.8776118755340505</v>
      </c>
      <c r="L28" s="1">
        <f>SQRT(Table3[[#This Row],[Test_loss]])</f>
        <v>3.1428668243395315</v>
      </c>
    </row>
    <row r="29" spans="1:12" x14ac:dyDescent="0.25">
      <c r="A29" t="s">
        <v>13</v>
      </c>
      <c r="B29">
        <v>8</v>
      </c>
      <c r="C29">
        <v>362</v>
      </c>
      <c r="D29">
        <v>272</v>
      </c>
      <c r="E29">
        <v>0.01</v>
      </c>
      <c r="F29" t="s">
        <v>72</v>
      </c>
      <c r="G29" t="str">
        <f t="shared" si="0"/>
        <v>SGD</v>
      </c>
      <c r="H29" s="2">
        <v>278.04628014564503</v>
      </c>
      <c r="I29" s="1">
        <v>10.041529650083699</v>
      </c>
      <c r="J29" s="1">
        <v>12.9639722924483</v>
      </c>
      <c r="K29" s="1">
        <v>9.9188637482492492</v>
      </c>
      <c r="L29" s="1">
        <f>SQRT(Table3[[#This Row],[Test_loss]])</f>
        <v>3.1494227642933632</v>
      </c>
    </row>
    <row r="30" spans="1:12" x14ac:dyDescent="0.25">
      <c r="A30" t="s">
        <v>13</v>
      </c>
      <c r="B30">
        <v>16</v>
      </c>
      <c r="C30">
        <v>544</v>
      </c>
      <c r="D30">
        <v>408</v>
      </c>
      <c r="E30">
        <v>0.01</v>
      </c>
      <c r="F30" t="s">
        <v>70</v>
      </c>
      <c r="G30" t="str">
        <f t="shared" si="0"/>
        <v>SGD</v>
      </c>
      <c r="H30" s="2">
        <v>620.152649879455</v>
      </c>
      <c r="I30" s="1">
        <v>11.047989132744901</v>
      </c>
      <c r="J30" s="1">
        <v>12.0920980771382</v>
      </c>
      <c r="K30" s="1">
        <v>10.462013986375499</v>
      </c>
      <c r="L30" s="1">
        <f>SQRT(Table3[[#This Row],[Test_loss]])</f>
        <v>3.2345036692474936</v>
      </c>
    </row>
    <row r="31" spans="1:12" x14ac:dyDescent="0.25">
      <c r="A31" t="s">
        <v>13</v>
      </c>
      <c r="B31">
        <v>16</v>
      </c>
      <c r="C31">
        <v>544</v>
      </c>
      <c r="D31">
        <v>408</v>
      </c>
      <c r="E31">
        <v>1E-3</v>
      </c>
      <c r="F31" t="s">
        <v>82</v>
      </c>
      <c r="G31" t="str">
        <f t="shared" si="0"/>
        <v>SGD</v>
      </c>
      <c r="H31" s="2">
        <v>708.75140237808205</v>
      </c>
      <c r="I31" s="1">
        <v>10.635354370812699</v>
      </c>
      <c r="J31" s="1">
        <v>13.484624385833699</v>
      </c>
      <c r="K31" s="1">
        <v>10.829591539171</v>
      </c>
      <c r="L31" s="1">
        <f>SQRT(Table3[[#This Row],[Test_loss]])</f>
        <v>3.2908344745931846</v>
      </c>
    </row>
    <row r="32" spans="1:12" x14ac:dyDescent="0.25">
      <c r="A32" t="s">
        <v>13</v>
      </c>
      <c r="B32">
        <v>16</v>
      </c>
      <c r="C32">
        <v>362</v>
      </c>
      <c r="D32">
        <v>272</v>
      </c>
      <c r="E32">
        <v>0.01</v>
      </c>
      <c r="F32" t="s">
        <v>73</v>
      </c>
      <c r="G32" t="str">
        <f t="shared" si="0"/>
        <v>SGD</v>
      </c>
      <c r="H32" s="2">
        <v>462.350056648254</v>
      </c>
      <c r="I32" s="1">
        <v>11.8428209822518</v>
      </c>
      <c r="J32" s="1">
        <v>14.937508689032599</v>
      </c>
      <c r="K32" s="1">
        <v>11.103539254930199</v>
      </c>
      <c r="L32" s="1">
        <f>SQRT(Table3[[#This Row],[Test_loss]])</f>
        <v>3.3321973613413416</v>
      </c>
    </row>
    <row r="33" spans="1:12" x14ac:dyDescent="0.25">
      <c r="A33" t="s">
        <v>13</v>
      </c>
      <c r="B33">
        <v>16</v>
      </c>
      <c r="C33">
        <v>362</v>
      </c>
      <c r="D33">
        <v>272</v>
      </c>
      <c r="E33">
        <v>0.01</v>
      </c>
      <c r="F33" t="s">
        <v>67</v>
      </c>
      <c r="G33" t="str">
        <f t="shared" si="0"/>
        <v>Adam</v>
      </c>
      <c r="H33" s="2">
        <v>522.42977905273403</v>
      </c>
      <c r="I33" s="1">
        <v>9.3776304878060905</v>
      </c>
      <c r="J33" s="1">
        <v>13.643846935696001</v>
      </c>
      <c r="K33" s="1">
        <v>11.2684285375807</v>
      </c>
      <c r="L33" s="1">
        <f>SQRT(Table3[[#This Row],[Test_loss]])</f>
        <v>3.3568480063268726</v>
      </c>
    </row>
    <row r="34" spans="1:12" x14ac:dyDescent="0.25">
      <c r="A34" t="s">
        <v>13</v>
      </c>
      <c r="B34">
        <v>8</v>
      </c>
      <c r="C34">
        <v>362</v>
      </c>
      <c r="D34">
        <v>272</v>
      </c>
      <c r="E34">
        <v>1E-3</v>
      </c>
      <c r="F34" t="s">
        <v>84</v>
      </c>
      <c r="G34" t="str">
        <f t="shared" si="0"/>
        <v>SGD</v>
      </c>
      <c r="H34" s="2">
        <v>251.05675649642899</v>
      </c>
      <c r="I34" s="1">
        <v>11.530598735809299</v>
      </c>
      <c r="J34" s="1">
        <v>14.5363769280283</v>
      </c>
      <c r="K34" s="1">
        <v>11.7854583639847</v>
      </c>
      <c r="L34" s="1">
        <f>SQRT(Table3[[#This Row],[Test_loss]])</f>
        <v>3.4329955380082713</v>
      </c>
    </row>
    <row r="35" spans="1:12" x14ac:dyDescent="0.25">
      <c r="A35" t="s">
        <v>13</v>
      </c>
      <c r="B35">
        <v>16</v>
      </c>
      <c r="C35">
        <v>362</v>
      </c>
      <c r="D35">
        <v>272</v>
      </c>
      <c r="E35">
        <v>1E-3</v>
      </c>
      <c r="F35" t="s">
        <v>85</v>
      </c>
      <c r="G35" t="str">
        <f t="shared" si="0"/>
        <v>SGD</v>
      </c>
      <c r="H35" s="2">
        <v>394.52457308769198</v>
      </c>
      <c r="I35" s="1">
        <v>10.9311237878609</v>
      </c>
      <c r="J35" s="1">
        <v>14.061768425835499</v>
      </c>
      <c r="K35" s="1">
        <v>11.813070615132601</v>
      </c>
      <c r="L35" s="1">
        <f>SQRT(Table3[[#This Row],[Test_loss]])</f>
        <v>3.4370147825013206</v>
      </c>
    </row>
    <row r="36" spans="1:12" x14ac:dyDescent="0.25">
      <c r="A36" t="s">
        <v>13</v>
      </c>
      <c r="B36">
        <v>8</v>
      </c>
      <c r="C36">
        <v>362</v>
      </c>
      <c r="D36">
        <v>272</v>
      </c>
      <c r="E36">
        <v>0.1</v>
      </c>
      <c r="F36" t="s">
        <v>60</v>
      </c>
      <c r="G36" t="str">
        <f t="shared" si="0"/>
        <v>SGD</v>
      </c>
      <c r="H36" s="2">
        <v>319.58520698547301</v>
      </c>
      <c r="I36" s="1">
        <v>12.268704709872299</v>
      </c>
      <c r="J36" s="1">
        <v>16.5839233649404</v>
      </c>
      <c r="K36" s="1">
        <v>13.997369565461799</v>
      </c>
      <c r="L36" s="1">
        <f>SQRT(Table3[[#This Row],[Test_loss]])</f>
        <v>3.7413058636606817</v>
      </c>
    </row>
    <row r="37" spans="1:12" x14ac:dyDescent="0.25">
      <c r="A37" t="s">
        <v>13</v>
      </c>
      <c r="B37">
        <v>16</v>
      </c>
      <c r="C37">
        <v>362</v>
      </c>
      <c r="D37">
        <v>272</v>
      </c>
      <c r="E37">
        <v>0.1</v>
      </c>
      <c r="F37" t="s">
        <v>61</v>
      </c>
      <c r="G37" t="str">
        <f t="shared" si="0"/>
        <v>SGD</v>
      </c>
      <c r="H37" s="2">
        <v>54.708025217056203</v>
      </c>
      <c r="I37" s="1">
        <v>22.144890548836401</v>
      </c>
      <c r="J37" s="1">
        <v>30.4651652442084</v>
      </c>
      <c r="K37" s="1">
        <v>24.960539923773801</v>
      </c>
      <c r="L37" s="1">
        <f>SQRT(Table3[[#This Row],[Test_loss]])</f>
        <v>4.9960524340496866</v>
      </c>
    </row>
    <row r="38" spans="1:12" x14ac:dyDescent="0.25"/>
    <row r="39" spans="1:12" hidden="1" x14ac:dyDescent="0.25"/>
    <row r="40" spans="1:12" hidden="1" x14ac:dyDescent="0.25"/>
    <row r="41" spans="1:12" hidden="1" x14ac:dyDescent="0.25"/>
    <row r="42" spans="1:12" hidden="1" x14ac:dyDescent="0.25"/>
    <row r="43" spans="1:12" hidden="1" x14ac:dyDescent="0.25"/>
    <row r="44" spans="1:12" hidden="1" x14ac:dyDescent="0.25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030D3-1611-4DF8-8829-B25FB2624F08}">
  <sheetPr codeName="Sheet6">
    <tabColor theme="9" tint="0.39997558519241921"/>
  </sheetPr>
  <dimension ref="A1:P46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8" width="9.140625" customWidth="1"/>
    <col min="9" max="9" width="10.140625" bestFit="1" customWidth="1"/>
    <col min="10" max="16" width="9.140625" customWidth="1"/>
    <col min="17" max="16384" width="9.140625" hidden="1"/>
  </cols>
  <sheetData>
    <row r="1" spans="2:15" x14ac:dyDescent="0.25"/>
    <row r="2" spans="2:15" x14ac:dyDescent="0.25">
      <c r="B2" t="s">
        <v>8</v>
      </c>
      <c r="C2">
        <v>544</v>
      </c>
      <c r="D2" t="s">
        <v>0</v>
      </c>
      <c r="E2">
        <v>4</v>
      </c>
      <c r="G2" t="s">
        <v>8</v>
      </c>
      <c r="H2">
        <v>544</v>
      </c>
      <c r="I2" t="s">
        <v>0</v>
      </c>
      <c r="J2">
        <v>8</v>
      </c>
      <c r="L2" t="s">
        <v>8</v>
      </c>
      <c r="M2">
        <v>544</v>
      </c>
      <c r="N2" t="s">
        <v>0</v>
      </c>
      <c r="O2">
        <v>16</v>
      </c>
    </row>
    <row r="3" spans="2:15" x14ac:dyDescent="0.25">
      <c r="B3" t="s">
        <v>1</v>
      </c>
      <c r="C3">
        <v>408</v>
      </c>
      <c r="D3" t="s">
        <v>3</v>
      </c>
      <c r="E3" t="s">
        <v>11</v>
      </c>
      <c r="G3" t="s">
        <v>1</v>
      </c>
      <c r="H3">
        <v>408</v>
      </c>
      <c r="I3" t="s">
        <v>3</v>
      </c>
      <c r="J3" t="s">
        <v>11</v>
      </c>
      <c r="L3" t="s">
        <v>1</v>
      </c>
      <c r="M3">
        <v>408</v>
      </c>
      <c r="N3" t="s">
        <v>3</v>
      </c>
      <c r="O3" t="s">
        <v>11</v>
      </c>
    </row>
    <row r="4" spans="2:15" x14ac:dyDescent="0.25"/>
    <row r="5" spans="2:15" x14ac:dyDescent="0.25"/>
    <row r="6" spans="2:15" x14ac:dyDescent="0.25"/>
    <row r="7" spans="2:15" x14ac:dyDescent="0.25"/>
    <row r="8" spans="2:15" x14ac:dyDescent="0.25"/>
    <row r="9" spans="2:15" x14ac:dyDescent="0.25"/>
    <row r="10" spans="2:15" x14ac:dyDescent="0.25"/>
    <row r="11" spans="2:15" x14ac:dyDescent="0.25"/>
    <row r="12" spans="2:15" x14ac:dyDescent="0.25"/>
    <row r="13" spans="2:15" x14ac:dyDescent="0.25">
      <c r="B13" t="s">
        <v>8</v>
      </c>
      <c r="C13">
        <v>362</v>
      </c>
      <c r="D13" t="s">
        <v>0</v>
      </c>
      <c r="E13">
        <v>4</v>
      </c>
      <c r="G13" t="s">
        <v>8</v>
      </c>
      <c r="H13">
        <v>362</v>
      </c>
      <c r="I13" t="s">
        <v>0</v>
      </c>
      <c r="J13">
        <v>8</v>
      </c>
      <c r="L13" t="s">
        <v>8</v>
      </c>
      <c r="M13">
        <v>362</v>
      </c>
      <c r="N13" t="s">
        <v>0</v>
      </c>
      <c r="O13">
        <v>16</v>
      </c>
    </row>
    <row r="14" spans="2:15" x14ac:dyDescent="0.25">
      <c r="B14" t="s">
        <v>1</v>
      </c>
      <c r="C14">
        <v>272</v>
      </c>
      <c r="D14" t="s">
        <v>3</v>
      </c>
      <c r="E14" t="s">
        <v>11</v>
      </c>
      <c r="G14" t="s">
        <v>1</v>
      </c>
      <c r="H14">
        <v>272</v>
      </c>
      <c r="I14" t="s">
        <v>3</v>
      </c>
      <c r="J14" t="s">
        <v>11</v>
      </c>
      <c r="L14" t="s">
        <v>1</v>
      </c>
      <c r="M14">
        <v>272</v>
      </c>
      <c r="N14" t="s">
        <v>3</v>
      </c>
      <c r="O14" t="s">
        <v>11</v>
      </c>
    </row>
    <row r="15" spans="2:15" x14ac:dyDescent="0.25"/>
    <row r="16" spans="2:15" x14ac:dyDescent="0.25"/>
    <row r="17" spans="2:15" x14ac:dyDescent="0.25"/>
    <row r="18" spans="2:15" x14ac:dyDescent="0.25"/>
    <row r="19" spans="2:15" x14ac:dyDescent="0.25"/>
    <row r="20" spans="2:15" x14ac:dyDescent="0.25"/>
    <row r="21" spans="2:15" x14ac:dyDescent="0.25"/>
    <row r="22" spans="2:15" x14ac:dyDescent="0.25"/>
    <row r="23" spans="2:15" x14ac:dyDescent="0.25"/>
    <row r="24" spans="2:15" x14ac:dyDescent="0.25">
      <c r="B24" t="s">
        <v>8</v>
      </c>
      <c r="C24">
        <v>544</v>
      </c>
      <c r="D24" t="s">
        <v>0</v>
      </c>
      <c r="E24">
        <v>4</v>
      </c>
      <c r="G24" t="s">
        <v>8</v>
      </c>
      <c r="H24">
        <v>544</v>
      </c>
      <c r="I24" t="s">
        <v>0</v>
      </c>
      <c r="J24">
        <v>8</v>
      </c>
      <c r="L24" t="s">
        <v>8</v>
      </c>
      <c r="M24">
        <v>544</v>
      </c>
      <c r="N24" t="s">
        <v>0</v>
      </c>
      <c r="O24">
        <v>16</v>
      </c>
    </row>
    <row r="25" spans="2:15" x14ac:dyDescent="0.25">
      <c r="B25" t="s">
        <v>1</v>
      </c>
      <c r="C25">
        <v>408</v>
      </c>
      <c r="D25" t="s">
        <v>3</v>
      </c>
      <c r="E25" t="s">
        <v>12</v>
      </c>
      <c r="G25" t="s">
        <v>1</v>
      </c>
      <c r="H25">
        <v>408</v>
      </c>
      <c r="I25" t="s">
        <v>3</v>
      </c>
      <c r="J25" t="s">
        <v>12</v>
      </c>
      <c r="L25" t="s">
        <v>1</v>
      </c>
      <c r="M25">
        <v>408</v>
      </c>
      <c r="N25" t="s">
        <v>3</v>
      </c>
      <c r="O25" t="s">
        <v>12</v>
      </c>
    </row>
    <row r="26" spans="2:15" x14ac:dyDescent="0.25"/>
    <row r="27" spans="2:15" x14ac:dyDescent="0.25"/>
    <row r="28" spans="2:15" x14ac:dyDescent="0.25"/>
    <row r="29" spans="2:15" x14ac:dyDescent="0.25"/>
    <row r="30" spans="2:15" x14ac:dyDescent="0.25"/>
    <row r="31" spans="2:15" x14ac:dyDescent="0.25"/>
    <row r="32" spans="2:15" x14ac:dyDescent="0.25"/>
    <row r="33" spans="2:15" x14ac:dyDescent="0.25"/>
    <row r="34" spans="2:15" x14ac:dyDescent="0.25"/>
    <row r="35" spans="2:15" x14ac:dyDescent="0.25">
      <c r="B35" t="s">
        <v>8</v>
      </c>
      <c r="C35">
        <v>362</v>
      </c>
      <c r="D35" t="s">
        <v>0</v>
      </c>
      <c r="E35">
        <v>4</v>
      </c>
      <c r="G35" t="s">
        <v>8</v>
      </c>
      <c r="H35">
        <v>362</v>
      </c>
      <c r="I35" t="s">
        <v>0</v>
      </c>
      <c r="J35">
        <v>8</v>
      </c>
      <c r="L35" t="s">
        <v>8</v>
      </c>
      <c r="M35">
        <v>362</v>
      </c>
      <c r="N35" t="s">
        <v>0</v>
      </c>
      <c r="O35">
        <v>16</v>
      </c>
    </row>
    <row r="36" spans="2:15" x14ac:dyDescent="0.25">
      <c r="B36" t="s">
        <v>1</v>
      </c>
      <c r="C36">
        <v>272</v>
      </c>
      <c r="D36" t="s">
        <v>3</v>
      </c>
      <c r="E36" t="s">
        <v>12</v>
      </c>
      <c r="G36" t="s">
        <v>1</v>
      </c>
      <c r="H36">
        <v>272</v>
      </c>
      <c r="I36" t="s">
        <v>3</v>
      </c>
      <c r="J36" t="s">
        <v>12</v>
      </c>
      <c r="L36" t="s">
        <v>1</v>
      </c>
      <c r="M36">
        <v>272</v>
      </c>
      <c r="N36" t="s">
        <v>3</v>
      </c>
      <c r="O36" t="s">
        <v>12</v>
      </c>
    </row>
    <row r="37" spans="2:15" x14ac:dyDescent="0.25"/>
    <row r="38" spans="2:15" x14ac:dyDescent="0.25"/>
    <row r="39" spans="2:15" x14ac:dyDescent="0.25"/>
    <row r="40" spans="2:15" x14ac:dyDescent="0.25"/>
    <row r="41" spans="2:15" x14ac:dyDescent="0.25"/>
    <row r="42" spans="2:15" x14ac:dyDescent="0.25"/>
    <row r="43" spans="2:15" x14ac:dyDescent="0.25"/>
    <row r="44" spans="2:15" x14ac:dyDescent="0.25"/>
    <row r="45" spans="2:15" x14ac:dyDescent="0.25"/>
    <row r="46" spans="2:15" x14ac:dyDescent="0.2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5DE0C-BF63-4C33-B26C-DCBFD346C937}">
  <sheetPr codeName="Sheet7">
    <tabColor theme="9" tint="0.39997558519241921"/>
  </sheetPr>
  <dimension ref="A1:P46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8" width="9.140625" customWidth="1"/>
    <col min="9" max="9" width="10.140625" bestFit="1" customWidth="1"/>
    <col min="10" max="16" width="9.140625" customWidth="1"/>
    <col min="17" max="16384" width="9.140625" hidden="1"/>
  </cols>
  <sheetData>
    <row r="1" spans="2:15" x14ac:dyDescent="0.25"/>
    <row r="2" spans="2:15" x14ac:dyDescent="0.25">
      <c r="B2" s="3" t="s">
        <v>8</v>
      </c>
      <c r="C2" s="3">
        <v>544</v>
      </c>
      <c r="D2" s="3" t="s">
        <v>0</v>
      </c>
      <c r="E2" s="3">
        <v>4</v>
      </c>
      <c r="G2" t="s">
        <v>8</v>
      </c>
      <c r="H2">
        <v>544</v>
      </c>
      <c r="I2" t="s">
        <v>0</v>
      </c>
      <c r="J2">
        <v>8</v>
      </c>
      <c r="L2" t="s">
        <v>8</v>
      </c>
      <c r="M2">
        <v>544</v>
      </c>
      <c r="N2" t="s">
        <v>0</v>
      </c>
      <c r="O2">
        <v>16</v>
      </c>
    </row>
    <row r="3" spans="2:15" x14ac:dyDescent="0.25">
      <c r="B3" s="3" t="s">
        <v>1</v>
      </c>
      <c r="C3" s="3">
        <v>408</v>
      </c>
      <c r="D3" s="3" t="s">
        <v>3</v>
      </c>
      <c r="E3" s="3" t="s">
        <v>11</v>
      </c>
      <c r="G3" t="s">
        <v>1</v>
      </c>
      <c r="H3">
        <v>408</v>
      </c>
      <c r="I3" t="s">
        <v>3</v>
      </c>
      <c r="J3" t="s">
        <v>11</v>
      </c>
      <c r="L3" t="s">
        <v>1</v>
      </c>
      <c r="M3">
        <v>408</v>
      </c>
      <c r="N3" t="s">
        <v>3</v>
      </c>
      <c r="O3" t="s">
        <v>11</v>
      </c>
    </row>
    <row r="4" spans="2:15" x14ac:dyDescent="0.25"/>
    <row r="5" spans="2:15" x14ac:dyDescent="0.25"/>
    <row r="6" spans="2:15" x14ac:dyDescent="0.25"/>
    <row r="7" spans="2:15" x14ac:dyDescent="0.25"/>
    <row r="8" spans="2:15" x14ac:dyDescent="0.25"/>
    <row r="9" spans="2:15" x14ac:dyDescent="0.25"/>
    <row r="10" spans="2:15" x14ac:dyDescent="0.25"/>
    <row r="11" spans="2:15" x14ac:dyDescent="0.25"/>
    <row r="12" spans="2:15" x14ac:dyDescent="0.25"/>
    <row r="13" spans="2:15" x14ac:dyDescent="0.25">
      <c r="B13" t="s">
        <v>8</v>
      </c>
      <c r="C13">
        <v>362</v>
      </c>
      <c r="D13" t="s">
        <v>0</v>
      </c>
      <c r="E13">
        <v>4</v>
      </c>
      <c r="G13" t="s">
        <v>8</v>
      </c>
      <c r="H13">
        <v>362</v>
      </c>
      <c r="I13" t="s">
        <v>0</v>
      </c>
      <c r="J13">
        <v>8</v>
      </c>
      <c r="L13" t="s">
        <v>8</v>
      </c>
      <c r="M13">
        <v>362</v>
      </c>
      <c r="N13" t="s">
        <v>0</v>
      </c>
      <c r="O13">
        <v>16</v>
      </c>
    </row>
    <row r="14" spans="2:15" x14ac:dyDescent="0.25">
      <c r="B14" t="s">
        <v>1</v>
      </c>
      <c r="C14">
        <v>272</v>
      </c>
      <c r="D14" t="s">
        <v>3</v>
      </c>
      <c r="E14" t="s">
        <v>11</v>
      </c>
      <c r="G14" t="s">
        <v>1</v>
      </c>
      <c r="H14">
        <v>272</v>
      </c>
      <c r="I14" t="s">
        <v>3</v>
      </c>
      <c r="J14" t="s">
        <v>11</v>
      </c>
      <c r="L14" t="s">
        <v>1</v>
      </c>
      <c r="M14">
        <v>272</v>
      </c>
      <c r="N14" t="s">
        <v>3</v>
      </c>
      <c r="O14" t="s">
        <v>11</v>
      </c>
    </row>
    <row r="15" spans="2:15" x14ac:dyDescent="0.25"/>
    <row r="16" spans="2:15" x14ac:dyDescent="0.25"/>
    <row r="17" spans="2:15" x14ac:dyDescent="0.25"/>
    <row r="18" spans="2:15" x14ac:dyDescent="0.25"/>
    <row r="19" spans="2:15" x14ac:dyDescent="0.25"/>
    <row r="20" spans="2:15" x14ac:dyDescent="0.25"/>
    <row r="21" spans="2:15" x14ac:dyDescent="0.25"/>
    <row r="22" spans="2:15" x14ac:dyDescent="0.25"/>
    <row r="23" spans="2:15" x14ac:dyDescent="0.25"/>
    <row r="24" spans="2:15" x14ac:dyDescent="0.25">
      <c r="B24" t="s">
        <v>8</v>
      </c>
      <c r="C24">
        <v>544</v>
      </c>
      <c r="D24" t="s">
        <v>0</v>
      </c>
      <c r="E24">
        <v>4</v>
      </c>
      <c r="G24" t="s">
        <v>8</v>
      </c>
      <c r="H24">
        <v>544</v>
      </c>
      <c r="I24" t="s">
        <v>0</v>
      </c>
      <c r="J24">
        <v>8</v>
      </c>
      <c r="L24" t="s">
        <v>8</v>
      </c>
      <c r="M24">
        <v>544</v>
      </c>
      <c r="N24" t="s">
        <v>0</v>
      </c>
      <c r="O24">
        <v>16</v>
      </c>
    </row>
    <row r="25" spans="2:15" x14ac:dyDescent="0.25">
      <c r="B25" t="s">
        <v>1</v>
      </c>
      <c r="C25">
        <v>408</v>
      </c>
      <c r="D25" t="s">
        <v>3</v>
      </c>
      <c r="E25" t="s">
        <v>12</v>
      </c>
      <c r="G25" t="s">
        <v>1</v>
      </c>
      <c r="H25">
        <v>408</v>
      </c>
      <c r="I25" t="s">
        <v>3</v>
      </c>
      <c r="J25" t="s">
        <v>12</v>
      </c>
      <c r="L25" t="s">
        <v>1</v>
      </c>
      <c r="M25">
        <v>408</v>
      </c>
      <c r="N25" t="s">
        <v>3</v>
      </c>
      <c r="O25" t="s">
        <v>12</v>
      </c>
    </row>
    <row r="26" spans="2:15" x14ac:dyDescent="0.25"/>
    <row r="27" spans="2:15" x14ac:dyDescent="0.25"/>
    <row r="28" spans="2:15" x14ac:dyDescent="0.25"/>
    <row r="29" spans="2:15" x14ac:dyDescent="0.25"/>
    <row r="30" spans="2:15" x14ac:dyDescent="0.25"/>
    <row r="31" spans="2:15" x14ac:dyDescent="0.25"/>
    <row r="32" spans="2:15" x14ac:dyDescent="0.25"/>
    <row r="33" spans="2:15" x14ac:dyDescent="0.25"/>
    <row r="34" spans="2:15" x14ac:dyDescent="0.25"/>
    <row r="35" spans="2:15" x14ac:dyDescent="0.25">
      <c r="B35" t="s">
        <v>8</v>
      </c>
      <c r="C35">
        <v>362</v>
      </c>
      <c r="D35" t="s">
        <v>0</v>
      </c>
      <c r="E35">
        <v>4</v>
      </c>
      <c r="G35" t="s">
        <v>8</v>
      </c>
      <c r="H35">
        <v>362</v>
      </c>
      <c r="I35" t="s">
        <v>0</v>
      </c>
      <c r="J35">
        <v>8</v>
      </c>
      <c r="L35" t="s">
        <v>8</v>
      </c>
      <c r="M35">
        <v>362</v>
      </c>
      <c r="N35" t="s">
        <v>0</v>
      </c>
      <c r="O35">
        <v>16</v>
      </c>
    </row>
    <row r="36" spans="2:15" x14ac:dyDescent="0.25">
      <c r="B36" t="s">
        <v>1</v>
      </c>
      <c r="C36">
        <v>272</v>
      </c>
      <c r="D36" t="s">
        <v>3</v>
      </c>
      <c r="E36" t="s">
        <v>12</v>
      </c>
      <c r="G36" t="s">
        <v>1</v>
      </c>
      <c r="H36">
        <v>272</v>
      </c>
      <c r="I36" t="s">
        <v>3</v>
      </c>
      <c r="J36" t="s">
        <v>12</v>
      </c>
      <c r="L36" t="s">
        <v>1</v>
      </c>
      <c r="M36">
        <v>272</v>
      </c>
      <c r="N36" t="s">
        <v>3</v>
      </c>
      <c r="O36" t="s">
        <v>12</v>
      </c>
    </row>
    <row r="37" spans="2:15" x14ac:dyDescent="0.25"/>
    <row r="38" spans="2:15" x14ac:dyDescent="0.25"/>
    <row r="39" spans="2:15" x14ac:dyDescent="0.25"/>
    <row r="40" spans="2:15" x14ac:dyDescent="0.25"/>
    <row r="41" spans="2:15" x14ac:dyDescent="0.25"/>
    <row r="42" spans="2:15" x14ac:dyDescent="0.25"/>
    <row r="43" spans="2:15" x14ac:dyDescent="0.25"/>
    <row r="44" spans="2:15" x14ac:dyDescent="0.25"/>
    <row r="45" spans="2:15" x14ac:dyDescent="0.25"/>
    <row r="46" spans="2:15" x14ac:dyDescent="0.25"/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E2DD2-91DE-4E88-B7A0-B81BF83610EA}">
  <sheetPr codeName="Sheet8">
    <tabColor theme="9" tint="0.39997558519241921"/>
  </sheetPr>
  <dimension ref="A1:P52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8" width="9.140625" customWidth="1"/>
    <col min="9" max="9" width="10.140625" bestFit="1" customWidth="1"/>
    <col min="10" max="16" width="9.140625" customWidth="1"/>
    <col min="17" max="16384" width="9.140625" hidden="1"/>
  </cols>
  <sheetData>
    <row r="1" spans="2:15" x14ac:dyDescent="0.25"/>
    <row r="2" spans="2:15" s="6" customFormat="1" x14ac:dyDescent="0.25">
      <c r="B2" s="6" t="s">
        <v>8</v>
      </c>
      <c r="C2" s="6">
        <v>544</v>
      </c>
      <c r="D2" s="6" t="s">
        <v>0</v>
      </c>
      <c r="E2" s="6">
        <v>4</v>
      </c>
      <c r="G2" s="6" t="s">
        <v>8</v>
      </c>
      <c r="H2" s="6">
        <v>544</v>
      </c>
      <c r="I2" s="6" t="s">
        <v>0</v>
      </c>
      <c r="J2" s="6">
        <v>8</v>
      </c>
      <c r="L2" s="6" t="s">
        <v>8</v>
      </c>
      <c r="M2" s="6">
        <v>544</v>
      </c>
      <c r="N2" s="6" t="s">
        <v>0</v>
      </c>
      <c r="O2" s="6">
        <v>16</v>
      </c>
    </row>
    <row r="3" spans="2:15" s="6" customFormat="1" x14ac:dyDescent="0.25">
      <c r="B3" s="6" t="s">
        <v>1</v>
      </c>
      <c r="C3" s="6">
        <v>408</v>
      </c>
      <c r="D3" s="6" t="s">
        <v>3</v>
      </c>
      <c r="E3" s="6" t="s">
        <v>11</v>
      </c>
      <c r="G3" s="6" t="s">
        <v>1</v>
      </c>
      <c r="H3" s="6">
        <v>408</v>
      </c>
      <c r="I3" s="6" t="s">
        <v>3</v>
      </c>
      <c r="J3" s="6" t="s">
        <v>11</v>
      </c>
      <c r="L3" s="6" t="s">
        <v>1</v>
      </c>
      <c r="M3" s="6">
        <v>408</v>
      </c>
      <c r="N3" s="6" t="s">
        <v>3</v>
      </c>
      <c r="O3" s="6" t="s">
        <v>11</v>
      </c>
    </row>
    <row r="4" spans="2:15" s="6" customFormat="1" x14ac:dyDescent="0.25"/>
    <row r="5" spans="2:15" x14ac:dyDescent="0.25"/>
    <row r="6" spans="2:15" x14ac:dyDescent="0.25"/>
    <row r="7" spans="2:15" x14ac:dyDescent="0.25"/>
    <row r="8" spans="2:15" x14ac:dyDescent="0.25"/>
    <row r="9" spans="2:15" x14ac:dyDescent="0.25"/>
    <row r="10" spans="2:15" x14ac:dyDescent="0.25"/>
    <row r="11" spans="2:15" x14ac:dyDescent="0.25"/>
    <row r="12" spans="2:15" x14ac:dyDescent="0.25"/>
    <row r="13" spans="2:15" x14ac:dyDescent="0.25">
      <c r="B13" t="s">
        <v>8</v>
      </c>
      <c r="C13">
        <v>362</v>
      </c>
      <c r="D13" t="s">
        <v>0</v>
      </c>
      <c r="E13">
        <v>4</v>
      </c>
      <c r="G13" t="s">
        <v>8</v>
      </c>
      <c r="H13">
        <v>362</v>
      </c>
      <c r="I13" t="s">
        <v>0</v>
      </c>
      <c r="J13">
        <v>8</v>
      </c>
      <c r="L13" t="s">
        <v>8</v>
      </c>
      <c r="M13">
        <v>362</v>
      </c>
      <c r="N13" t="s">
        <v>0</v>
      </c>
      <c r="O13">
        <v>16</v>
      </c>
    </row>
    <row r="14" spans="2:15" x14ac:dyDescent="0.25">
      <c r="B14" t="s">
        <v>1</v>
      </c>
      <c r="C14">
        <v>272</v>
      </c>
      <c r="D14" t="s">
        <v>3</v>
      </c>
      <c r="E14" t="s">
        <v>11</v>
      </c>
      <c r="G14" t="s">
        <v>1</v>
      </c>
      <c r="H14">
        <v>272</v>
      </c>
      <c r="I14" t="s">
        <v>3</v>
      </c>
      <c r="J14" t="s">
        <v>11</v>
      </c>
      <c r="L14" t="s">
        <v>1</v>
      </c>
      <c r="M14">
        <v>272</v>
      </c>
      <c r="N14" t="s">
        <v>3</v>
      </c>
      <c r="O14" t="s">
        <v>11</v>
      </c>
    </row>
    <row r="15" spans="2:15" x14ac:dyDescent="0.25"/>
    <row r="16" spans="2:15" x14ac:dyDescent="0.25"/>
    <row r="17" spans="2:15" x14ac:dyDescent="0.25"/>
    <row r="18" spans="2:15" x14ac:dyDescent="0.25"/>
    <row r="19" spans="2:15" x14ac:dyDescent="0.25"/>
    <row r="20" spans="2:15" x14ac:dyDescent="0.25"/>
    <row r="21" spans="2:15" x14ac:dyDescent="0.25"/>
    <row r="22" spans="2:15" x14ac:dyDescent="0.25"/>
    <row r="23" spans="2:15" x14ac:dyDescent="0.25"/>
    <row r="24" spans="2:15" x14ac:dyDescent="0.25">
      <c r="B24" t="s">
        <v>8</v>
      </c>
      <c r="C24">
        <v>544</v>
      </c>
      <c r="D24" t="s">
        <v>0</v>
      </c>
      <c r="E24">
        <v>4</v>
      </c>
      <c r="G24" t="s">
        <v>8</v>
      </c>
      <c r="H24">
        <v>544</v>
      </c>
      <c r="I24" t="s">
        <v>0</v>
      </c>
      <c r="J24">
        <v>8</v>
      </c>
      <c r="L24" t="s">
        <v>8</v>
      </c>
      <c r="M24">
        <v>544</v>
      </c>
      <c r="N24" t="s">
        <v>0</v>
      </c>
      <c r="O24">
        <v>16</v>
      </c>
    </row>
    <row r="25" spans="2:15" x14ac:dyDescent="0.25">
      <c r="B25" t="s">
        <v>1</v>
      </c>
      <c r="C25">
        <v>408</v>
      </c>
      <c r="D25" t="s">
        <v>3</v>
      </c>
      <c r="E25" t="s">
        <v>12</v>
      </c>
      <c r="G25" t="s">
        <v>1</v>
      </c>
      <c r="H25">
        <v>408</v>
      </c>
      <c r="I25" t="s">
        <v>3</v>
      </c>
      <c r="J25" t="s">
        <v>12</v>
      </c>
      <c r="L25" t="s">
        <v>1</v>
      </c>
      <c r="M25">
        <v>408</v>
      </c>
      <c r="N25" t="s">
        <v>3</v>
      </c>
      <c r="O25" t="s">
        <v>12</v>
      </c>
    </row>
    <row r="26" spans="2:15" x14ac:dyDescent="0.25"/>
    <row r="27" spans="2:15" x14ac:dyDescent="0.25"/>
    <row r="28" spans="2:15" x14ac:dyDescent="0.25"/>
    <row r="29" spans="2:15" x14ac:dyDescent="0.25"/>
    <row r="30" spans="2:15" x14ac:dyDescent="0.25"/>
    <row r="31" spans="2:15" x14ac:dyDescent="0.25"/>
    <row r="32" spans="2:15" x14ac:dyDescent="0.25"/>
    <row r="33" spans="2:15" x14ac:dyDescent="0.25"/>
    <row r="34" spans="2:15" x14ac:dyDescent="0.25"/>
    <row r="35" spans="2:15" x14ac:dyDescent="0.25">
      <c r="B35" t="s">
        <v>8</v>
      </c>
      <c r="C35">
        <v>362</v>
      </c>
      <c r="D35" t="s">
        <v>0</v>
      </c>
      <c r="E35">
        <v>4</v>
      </c>
      <c r="G35" t="s">
        <v>8</v>
      </c>
      <c r="H35">
        <v>362</v>
      </c>
      <c r="I35" t="s">
        <v>0</v>
      </c>
      <c r="J35">
        <v>8</v>
      </c>
      <c r="L35" t="s">
        <v>8</v>
      </c>
      <c r="M35">
        <v>362</v>
      </c>
      <c r="N35" t="s">
        <v>0</v>
      </c>
      <c r="O35">
        <v>16</v>
      </c>
    </row>
    <row r="36" spans="2:15" x14ac:dyDescent="0.25">
      <c r="B36" t="s">
        <v>1</v>
      </c>
      <c r="C36">
        <v>272</v>
      </c>
      <c r="D36" t="s">
        <v>3</v>
      </c>
      <c r="E36" t="s">
        <v>12</v>
      </c>
      <c r="G36" t="s">
        <v>1</v>
      </c>
      <c r="H36">
        <v>272</v>
      </c>
      <c r="I36" t="s">
        <v>3</v>
      </c>
      <c r="J36" t="s">
        <v>12</v>
      </c>
      <c r="L36" t="s">
        <v>1</v>
      </c>
      <c r="M36">
        <v>272</v>
      </c>
      <c r="N36" t="s">
        <v>3</v>
      </c>
      <c r="O36" t="s">
        <v>12</v>
      </c>
    </row>
    <row r="37" spans="2:15" x14ac:dyDescent="0.25"/>
    <row r="38" spans="2:15" x14ac:dyDescent="0.25"/>
    <row r="39" spans="2:15" x14ac:dyDescent="0.25"/>
    <row r="40" spans="2:15" x14ac:dyDescent="0.25"/>
    <row r="41" spans="2:15" x14ac:dyDescent="0.25"/>
    <row r="42" spans="2:15" x14ac:dyDescent="0.25"/>
    <row r="43" spans="2:15" x14ac:dyDescent="0.25"/>
    <row r="44" spans="2:15" x14ac:dyDescent="0.25"/>
    <row r="45" spans="2:15" x14ac:dyDescent="0.25"/>
    <row r="46" spans="2:15" x14ac:dyDescent="0.25"/>
    <row r="47" spans="2:15" ht="15" hidden="1" customHeight="1" x14ac:dyDescent="0.25"/>
    <row r="48" spans="2:15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3C60C-4309-42FB-8B5D-66AA0B0417BC}">
  <sheetPr>
    <tabColor theme="7" tint="0.39997558519241921"/>
  </sheetPr>
  <dimension ref="A1:N38"/>
  <sheetViews>
    <sheetView showGridLines="0" zoomScale="85" zoomScaleNormal="85" workbookViewId="0"/>
  </sheetViews>
  <sheetFormatPr defaultColWidth="0" defaultRowHeight="15" customHeight="1" zeroHeight="1" x14ac:dyDescent="0.25"/>
  <cols>
    <col min="1" max="3" width="9.140625" customWidth="1"/>
    <col min="4" max="4" width="9.28515625" customWidth="1"/>
    <col min="5" max="5" width="12.42578125" customWidth="1"/>
    <col min="6" max="6" width="9.140625" hidden="1" customWidth="1"/>
    <col min="7" max="7" width="13.140625" customWidth="1"/>
    <col min="8" max="8" width="7.7109375" customWidth="1"/>
    <col min="9" max="9" width="12.7109375" customWidth="1"/>
    <col min="10" max="10" width="11.140625" customWidth="1"/>
    <col min="11" max="11" width="12" customWidth="1"/>
    <col min="12" max="12" width="13" customWidth="1"/>
    <col min="13" max="13" width="2.85546875" customWidth="1"/>
    <col min="14" max="14" width="0" hidden="1" customWidth="1"/>
    <col min="15" max="16384" width="9.140625" hidden="1"/>
  </cols>
  <sheetData>
    <row r="1" spans="1:12" x14ac:dyDescent="0.25">
      <c r="A1" t="s">
        <v>9</v>
      </c>
      <c r="B1" t="s">
        <v>0</v>
      </c>
      <c r="C1" t="s">
        <v>8</v>
      </c>
      <c r="D1" t="s">
        <v>1</v>
      </c>
      <c r="E1" t="s">
        <v>2</v>
      </c>
      <c r="F1" t="s">
        <v>123</v>
      </c>
      <c r="G1" t="s">
        <v>3</v>
      </c>
      <c r="H1" t="s">
        <v>5</v>
      </c>
      <c r="I1" t="s">
        <v>6</v>
      </c>
      <c r="J1" t="s">
        <v>7</v>
      </c>
      <c r="K1" t="s">
        <v>4</v>
      </c>
      <c r="L1" t="s">
        <v>124</v>
      </c>
    </row>
    <row r="2" spans="1:12" x14ac:dyDescent="0.25">
      <c r="A2" t="s">
        <v>87</v>
      </c>
      <c r="B2">
        <v>4</v>
      </c>
      <c r="C2">
        <v>544</v>
      </c>
      <c r="D2">
        <v>408</v>
      </c>
      <c r="E2">
        <v>0.1</v>
      </c>
      <c r="F2" t="s">
        <v>86</v>
      </c>
      <c r="G2" t="str">
        <f t="shared" ref="G2:G37" si="0">IF(RIGHT(LEFT(F2,47),4)="Adam","Adam","SGD")</f>
        <v>Adam</v>
      </c>
      <c r="H2" s="2">
        <v>451.21191740035999</v>
      </c>
      <c r="I2" s="1">
        <v>4.9267310888907101</v>
      </c>
      <c r="J2" s="1">
        <v>7.0553147259511402</v>
      </c>
      <c r="K2" s="1">
        <v>5.7184729921190298</v>
      </c>
      <c r="L2" s="1">
        <f t="shared" ref="L2:L37" si="1">SQRT(K2)</f>
        <v>2.3913328902766819</v>
      </c>
    </row>
    <row r="3" spans="1:12" x14ac:dyDescent="0.25">
      <c r="A3" t="s">
        <v>87</v>
      </c>
      <c r="B3">
        <v>8</v>
      </c>
      <c r="C3">
        <v>544</v>
      </c>
      <c r="D3">
        <v>408</v>
      </c>
      <c r="E3">
        <v>1E-3</v>
      </c>
      <c r="F3" t="s">
        <v>112</v>
      </c>
      <c r="G3" t="str">
        <f t="shared" si="0"/>
        <v>Adam</v>
      </c>
      <c r="H3" s="2">
        <v>628.63235974311795</v>
      </c>
      <c r="I3" s="1">
        <v>4.4796301055961898</v>
      </c>
      <c r="J3" s="1">
        <v>7.82237627004322</v>
      </c>
      <c r="K3" s="1">
        <v>5.8588521104109903</v>
      </c>
      <c r="L3" s="1">
        <f t="shared" si="1"/>
        <v>2.4205065813608089</v>
      </c>
    </row>
    <row r="4" spans="1:12" x14ac:dyDescent="0.25">
      <c r="A4" t="s">
        <v>87</v>
      </c>
      <c r="B4">
        <v>8</v>
      </c>
      <c r="C4">
        <v>544</v>
      </c>
      <c r="D4">
        <v>408</v>
      </c>
      <c r="E4">
        <v>0.1</v>
      </c>
      <c r="F4" t="s">
        <v>88</v>
      </c>
      <c r="G4" t="str">
        <f t="shared" si="0"/>
        <v>Adam</v>
      </c>
      <c r="H4" s="2">
        <v>548.53775215148903</v>
      </c>
      <c r="I4" s="1">
        <v>5.6190011373707902</v>
      </c>
      <c r="J4" s="1">
        <v>8.0439688155525602</v>
      </c>
      <c r="K4" s="1">
        <v>5.9563739801707998</v>
      </c>
      <c r="L4" s="1">
        <f t="shared" si="1"/>
        <v>2.4405683723614056</v>
      </c>
    </row>
    <row r="5" spans="1:12" x14ac:dyDescent="0.25">
      <c r="A5" s="3" t="s">
        <v>87</v>
      </c>
      <c r="B5" s="3">
        <v>4</v>
      </c>
      <c r="C5" s="3">
        <v>544</v>
      </c>
      <c r="D5" s="3">
        <v>408</v>
      </c>
      <c r="E5" s="3">
        <v>1E-3</v>
      </c>
      <c r="F5" s="3" t="s">
        <v>117</v>
      </c>
      <c r="G5" s="3" t="str">
        <f t="shared" si="0"/>
        <v>SGD</v>
      </c>
      <c r="H5" s="4">
        <v>357.65275478362997</v>
      </c>
      <c r="I5" s="5">
        <v>5.9651310202780703</v>
      </c>
      <c r="J5" s="5">
        <v>7.3482022975620396</v>
      </c>
      <c r="K5" s="5">
        <v>6.2775613124433303</v>
      </c>
      <c r="L5" s="5">
        <f t="shared" si="1"/>
        <v>2.5055061988435252</v>
      </c>
    </row>
    <row r="6" spans="1:12" x14ac:dyDescent="0.25">
      <c r="A6" t="s">
        <v>87</v>
      </c>
      <c r="B6">
        <v>8</v>
      </c>
      <c r="C6">
        <v>544</v>
      </c>
      <c r="D6">
        <v>408</v>
      </c>
      <c r="E6">
        <v>0.01</v>
      </c>
      <c r="F6" t="s">
        <v>100</v>
      </c>
      <c r="G6" t="str">
        <f t="shared" si="0"/>
        <v>Adam</v>
      </c>
      <c r="H6" s="2">
        <v>436.44408154487598</v>
      </c>
      <c r="I6" s="1">
        <v>5.0405810362856096</v>
      </c>
      <c r="J6" s="1">
        <v>7.0451783381010298</v>
      </c>
      <c r="K6" s="1">
        <v>6.3254293391578997</v>
      </c>
      <c r="L6" s="1">
        <f t="shared" si="1"/>
        <v>2.515040623758968</v>
      </c>
    </row>
    <row r="7" spans="1:12" x14ac:dyDescent="0.25">
      <c r="A7" t="s">
        <v>87</v>
      </c>
      <c r="B7">
        <v>4</v>
      </c>
      <c r="C7">
        <v>544</v>
      </c>
      <c r="D7">
        <v>408</v>
      </c>
      <c r="E7">
        <v>0.01</v>
      </c>
      <c r="F7" t="s">
        <v>99</v>
      </c>
      <c r="G7" t="str">
        <f t="shared" si="0"/>
        <v>Adam</v>
      </c>
      <c r="H7" s="2">
        <v>325.46376299858002</v>
      </c>
      <c r="I7" s="1">
        <v>4.8071676773971301</v>
      </c>
      <c r="J7" s="1">
        <v>6.7572578630949298</v>
      </c>
      <c r="K7" s="1">
        <v>6.5391852620400801</v>
      </c>
      <c r="L7" s="1">
        <f t="shared" si="1"/>
        <v>2.557183071670873</v>
      </c>
    </row>
    <row r="8" spans="1:12" x14ac:dyDescent="0.25">
      <c r="A8" t="s">
        <v>87</v>
      </c>
      <c r="B8">
        <v>4</v>
      </c>
      <c r="C8">
        <v>544</v>
      </c>
      <c r="D8">
        <v>408</v>
      </c>
      <c r="E8">
        <v>0.1</v>
      </c>
      <c r="F8" t="s">
        <v>93</v>
      </c>
      <c r="G8" t="str">
        <f t="shared" si="0"/>
        <v>SGD</v>
      </c>
      <c r="H8" s="2">
        <v>351.14437723159699</v>
      </c>
      <c r="I8" s="1">
        <v>6.34103039936738</v>
      </c>
      <c r="J8" s="1">
        <v>7.90177481503863</v>
      </c>
      <c r="K8" s="1">
        <v>7.0339922936339097</v>
      </c>
      <c r="L8" s="1">
        <f t="shared" si="1"/>
        <v>2.6521674708875209</v>
      </c>
    </row>
    <row r="9" spans="1:12" x14ac:dyDescent="0.25">
      <c r="A9" t="s">
        <v>87</v>
      </c>
      <c r="B9">
        <v>8</v>
      </c>
      <c r="C9">
        <v>544</v>
      </c>
      <c r="D9">
        <v>408</v>
      </c>
      <c r="E9">
        <v>0.01</v>
      </c>
      <c r="F9" t="s">
        <v>106</v>
      </c>
      <c r="G9" t="str">
        <f t="shared" si="0"/>
        <v>SGD</v>
      </c>
      <c r="H9" s="2">
        <v>485.32642793655299</v>
      </c>
      <c r="I9" s="1">
        <v>7.6834912582182504</v>
      </c>
      <c r="J9" s="1">
        <v>8.2995168472591203</v>
      </c>
      <c r="K9" s="1">
        <v>7.2315265065745304</v>
      </c>
      <c r="L9" s="1">
        <f t="shared" si="1"/>
        <v>2.6891497739201009</v>
      </c>
    </row>
    <row r="10" spans="1:12" x14ac:dyDescent="0.25">
      <c r="A10" t="s">
        <v>87</v>
      </c>
      <c r="B10">
        <v>16</v>
      </c>
      <c r="C10">
        <v>544</v>
      </c>
      <c r="D10">
        <v>408</v>
      </c>
      <c r="E10">
        <v>0.01</v>
      </c>
      <c r="F10" t="s">
        <v>101</v>
      </c>
      <c r="G10" t="str">
        <f t="shared" si="0"/>
        <v>Adam</v>
      </c>
      <c r="H10" s="2">
        <v>534.85312461853005</v>
      </c>
      <c r="I10" s="1">
        <v>7.1142018459461296</v>
      </c>
      <c r="J10" s="1">
        <v>8.1088953548007492</v>
      </c>
      <c r="K10" s="1">
        <v>7.7077138688829203</v>
      </c>
      <c r="L10" s="1">
        <f t="shared" si="1"/>
        <v>2.7762769798568225</v>
      </c>
    </row>
    <row r="11" spans="1:12" x14ac:dyDescent="0.25">
      <c r="A11" t="s">
        <v>87</v>
      </c>
      <c r="B11">
        <v>4</v>
      </c>
      <c r="C11">
        <v>544</v>
      </c>
      <c r="D11">
        <v>408</v>
      </c>
      <c r="E11">
        <v>1E-3</v>
      </c>
      <c r="F11" t="s">
        <v>111</v>
      </c>
      <c r="G11" t="str">
        <f t="shared" si="0"/>
        <v>Adam</v>
      </c>
      <c r="H11" s="2">
        <v>307.35736799240101</v>
      </c>
      <c r="I11" s="1">
        <v>7.1004361118755996</v>
      </c>
      <c r="J11" s="1">
        <v>8.1442495208037506</v>
      </c>
      <c r="K11" s="1">
        <v>7.7111724520984399</v>
      </c>
      <c r="L11" s="1">
        <f t="shared" si="1"/>
        <v>2.7768997915118292</v>
      </c>
    </row>
    <row r="12" spans="1:12" x14ac:dyDescent="0.25">
      <c r="A12" t="s">
        <v>87</v>
      </c>
      <c r="B12">
        <v>8</v>
      </c>
      <c r="C12">
        <v>544</v>
      </c>
      <c r="D12">
        <v>408</v>
      </c>
      <c r="E12">
        <v>1E-3</v>
      </c>
      <c r="F12" t="s">
        <v>118</v>
      </c>
      <c r="G12" t="str">
        <f t="shared" si="0"/>
        <v>SGD</v>
      </c>
      <c r="H12" s="2">
        <v>440.024394512176</v>
      </c>
      <c r="I12" s="1">
        <v>7.1997071682567304</v>
      </c>
      <c r="J12" s="1">
        <v>10.455688012273599</v>
      </c>
      <c r="K12" s="1">
        <v>7.92786499701048</v>
      </c>
      <c r="L12" s="1">
        <f t="shared" si="1"/>
        <v>2.8156464616514767</v>
      </c>
    </row>
    <row r="13" spans="1:12" x14ac:dyDescent="0.25">
      <c r="A13" t="s">
        <v>87</v>
      </c>
      <c r="B13">
        <v>4</v>
      </c>
      <c r="C13">
        <v>362</v>
      </c>
      <c r="D13">
        <v>272</v>
      </c>
      <c r="E13">
        <v>1E-3</v>
      </c>
      <c r="F13" t="s">
        <v>120</v>
      </c>
      <c r="G13" t="str">
        <f t="shared" si="0"/>
        <v>SGD</v>
      </c>
      <c r="H13" s="2">
        <v>369.50605607032702</v>
      </c>
      <c r="I13" s="1">
        <v>7.4534698956172498</v>
      </c>
      <c r="J13" s="1">
        <v>10.4032080330346</v>
      </c>
      <c r="K13" s="1">
        <v>7.9609108300585403</v>
      </c>
      <c r="L13" s="1">
        <f t="shared" si="1"/>
        <v>2.8215086088932178</v>
      </c>
    </row>
    <row r="14" spans="1:12" x14ac:dyDescent="0.25">
      <c r="A14" t="s">
        <v>87</v>
      </c>
      <c r="B14">
        <v>16</v>
      </c>
      <c r="C14">
        <v>544</v>
      </c>
      <c r="D14">
        <v>408</v>
      </c>
      <c r="E14">
        <v>0.01</v>
      </c>
      <c r="F14" t="s">
        <v>107</v>
      </c>
      <c r="G14" t="str">
        <f t="shared" si="0"/>
        <v>SGD</v>
      </c>
      <c r="H14" s="2">
        <v>619.15290021896305</v>
      </c>
      <c r="I14" s="1">
        <v>9.0602085651495496</v>
      </c>
      <c r="J14" s="1">
        <v>10.6974081463283</v>
      </c>
      <c r="K14" s="1">
        <v>7.9619957605997698</v>
      </c>
      <c r="L14" s="1">
        <f t="shared" si="1"/>
        <v>2.8217008630611025</v>
      </c>
    </row>
    <row r="15" spans="1:12" x14ac:dyDescent="0.25">
      <c r="A15" t="s">
        <v>87</v>
      </c>
      <c r="B15">
        <v>16</v>
      </c>
      <c r="C15">
        <v>362</v>
      </c>
      <c r="D15">
        <v>272</v>
      </c>
      <c r="E15">
        <v>0.1</v>
      </c>
      <c r="F15" t="s">
        <v>92</v>
      </c>
      <c r="G15" t="str">
        <f t="shared" si="0"/>
        <v>Adam</v>
      </c>
      <c r="H15" s="2">
        <v>790.20294523239102</v>
      </c>
      <c r="I15" s="1">
        <v>7.2954042630317799</v>
      </c>
      <c r="J15" s="1">
        <v>10.2219880421956</v>
      </c>
      <c r="K15" s="1">
        <v>8.2350890901353608</v>
      </c>
      <c r="L15" s="1">
        <f t="shared" si="1"/>
        <v>2.8696844931342818</v>
      </c>
    </row>
    <row r="16" spans="1:12" x14ac:dyDescent="0.25">
      <c r="A16" t="s">
        <v>87</v>
      </c>
      <c r="B16">
        <v>4</v>
      </c>
      <c r="C16">
        <v>362</v>
      </c>
      <c r="D16">
        <v>272</v>
      </c>
      <c r="E16">
        <v>1E-3</v>
      </c>
      <c r="F16" t="s">
        <v>114</v>
      </c>
      <c r="G16" t="str">
        <f t="shared" si="0"/>
        <v>Adam</v>
      </c>
      <c r="H16" s="2">
        <v>591.29626917839005</v>
      </c>
      <c r="I16" s="1">
        <v>8.4038163527344008</v>
      </c>
      <c r="J16" s="1">
        <v>12.272605542289501</v>
      </c>
      <c r="K16" s="1">
        <v>8.4709736328375893</v>
      </c>
      <c r="L16" s="1">
        <f t="shared" si="1"/>
        <v>2.9104937094653871</v>
      </c>
    </row>
    <row r="17" spans="1:12" x14ac:dyDescent="0.25">
      <c r="A17" t="s">
        <v>87</v>
      </c>
      <c r="B17">
        <v>4</v>
      </c>
      <c r="C17">
        <v>362</v>
      </c>
      <c r="D17">
        <v>272</v>
      </c>
      <c r="E17">
        <v>0.01</v>
      </c>
      <c r="F17" t="s">
        <v>102</v>
      </c>
      <c r="G17" t="str">
        <f t="shared" si="0"/>
        <v>Adam</v>
      </c>
      <c r="H17" s="2">
        <v>525.763604402542</v>
      </c>
      <c r="I17" s="1">
        <v>7.28143311978718</v>
      </c>
      <c r="J17" s="1">
        <v>11.4032677506145</v>
      </c>
      <c r="K17" s="1">
        <v>8.6452926836515704</v>
      </c>
      <c r="L17" s="1">
        <f t="shared" si="1"/>
        <v>2.9402878572771698</v>
      </c>
    </row>
    <row r="18" spans="1:12" x14ac:dyDescent="0.25">
      <c r="A18" t="s">
        <v>87</v>
      </c>
      <c r="B18">
        <v>16</v>
      </c>
      <c r="C18">
        <v>544</v>
      </c>
      <c r="D18">
        <v>408</v>
      </c>
      <c r="E18">
        <v>0.1</v>
      </c>
      <c r="F18" t="s">
        <v>89</v>
      </c>
      <c r="G18" t="str">
        <f t="shared" si="0"/>
        <v>Adam</v>
      </c>
      <c r="H18" s="2">
        <v>579.714943885803</v>
      </c>
      <c r="I18" s="1">
        <v>8.3627780669076106</v>
      </c>
      <c r="J18" s="1">
        <v>10.6932850943671</v>
      </c>
      <c r="K18" s="1">
        <v>8.8752841949462802</v>
      </c>
      <c r="L18" s="1">
        <f t="shared" si="1"/>
        <v>2.9791415197916127</v>
      </c>
    </row>
    <row r="19" spans="1:12" x14ac:dyDescent="0.25">
      <c r="A19" t="s">
        <v>87</v>
      </c>
      <c r="B19">
        <v>16</v>
      </c>
      <c r="C19">
        <v>544</v>
      </c>
      <c r="D19">
        <v>408</v>
      </c>
      <c r="E19">
        <v>1E-3</v>
      </c>
      <c r="F19" t="s">
        <v>113</v>
      </c>
      <c r="G19" t="str">
        <f t="shared" si="0"/>
        <v>Adam</v>
      </c>
      <c r="H19" s="2">
        <v>478.49515247344902</v>
      </c>
      <c r="I19" s="1">
        <v>7.3931042740487598</v>
      </c>
      <c r="J19" s="1">
        <v>9.7027173572116396</v>
      </c>
      <c r="K19" s="1">
        <v>8.9115916358099998</v>
      </c>
      <c r="L19" s="1">
        <f t="shared" si="1"/>
        <v>2.9852289084440411</v>
      </c>
    </row>
    <row r="20" spans="1:12" x14ac:dyDescent="0.25">
      <c r="A20" t="s">
        <v>87</v>
      </c>
      <c r="B20">
        <v>8</v>
      </c>
      <c r="C20">
        <v>362</v>
      </c>
      <c r="D20">
        <v>272</v>
      </c>
      <c r="E20">
        <v>0.1</v>
      </c>
      <c r="F20" t="s">
        <v>91</v>
      </c>
      <c r="G20" t="str">
        <f t="shared" si="0"/>
        <v>Adam</v>
      </c>
      <c r="H20" s="2">
        <v>567.19386267662003</v>
      </c>
      <c r="I20" s="1">
        <v>7.9634348802163499</v>
      </c>
      <c r="J20" s="1">
        <v>12.059588080958299</v>
      </c>
      <c r="K20" s="1">
        <v>9.0936077268499993</v>
      </c>
      <c r="L20" s="1">
        <f t="shared" si="1"/>
        <v>3.0155609307142179</v>
      </c>
    </row>
    <row r="21" spans="1:12" x14ac:dyDescent="0.25">
      <c r="A21" t="s">
        <v>87</v>
      </c>
      <c r="B21">
        <v>8</v>
      </c>
      <c r="C21">
        <v>362</v>
      </c>
      <c r="D21">
        <v>272</v>
      </c>
      <c r="E21">
        <v>1E-3</v>
      </c>
      <c r="F21" t="s">
        <v>115</v>
      </c>
      <c r="G21" t="str">
        <f t="shared" si="0"/>
        <v>Adam</v>
      </c>
      <c r="H21" s="2">
        <v>748.01507186889603</v>
      </c>
      <c r="I21" s="1">
        <v>8.3265870322643796</v>
      </c>
      <c r="J21" s="1">
        <v>10.6776310017234</v>
      </c>
      <c r="K21" s="1">
        <v>9.1179672416887794</v>
      </c>
      <c r="L21" s="1">
        <f t="shared" si="1"/>
        <v>3.0195971985827481</v>
      </c>
    </row>
    <row r="22" spans="1:12" x14ac:dyDescent="0.25">
      <c r="A22" t="s">
        <v>87</v>
      </c>
      <c r="B22">
        <v>4</v>
      </c>
      <c r="C22">
        <v>544</v>
      </c>
      <c r="D22">
        <v>408</v>
      </c>
      <c r="E22">
        <v>0.01</v>
      </c>
      <c r="F22" t="s">
        <v>105</v>
      </c>
      <c r="G22" t="str">
        <f t="shared" si="0"/>
        <v>SGD</v>
      </c>
      <c r="H22" s="2">
        <v>262.03748321533197</v>
      </c>
      <c r="I22" s="1">
        <v>8.7662747245094597</v>
      </c>
      <c r="J22" s="1">
        <v>10.545027814413301</v>
      </c>
      <c r="K22" s="1">
        <v>9.7216403766682191</v>
      </c>
      <c r="L22" s="1">
        <f t="shared" si="1"/>
        <v>3.1179545180563841</v>
      </c>
    </row>
    <row r="23" spans="1:12" x14ac:dyDescent="0.25">
      <c r="A23" t="s">
        <v>87</v>
      </c>
      <c r="B23">
        <v>8</v>
      </c>
      <c r="C23">
        <v>362</v>
      </c>
      <c r="D23">
        <v>272</v>
      </c>
      <c r="E23">
        <v>0.1</v>
      </c>
      <c r="F23" t="s">
        <v>97</v>
      </c>
      <c r="G23" t="str">
        <f t="shared" si="0"/>
        <v>SGD</v>
      </c>
      <c r="H23" s="2">
        <v>363.35707712173399</v>
      </c>
      <c r="I23" s="1">
        <v>8.8608384924875097</v>
      </c>
      <c r="J23" s="1">
        <v>11.5482382397902</v>
      </c>
      <c r="K23" s="1">
        <v>9.7340408563613892</v>
      </c>
      <c r="L23" s="1">
        <f t="shared" si="1"/>
        <v>3.1199424443988368</v>
      </c>
    </row>
    <row r="24" spans="1:12" x14ac:dyDescent="0.25">
      <c r="A24" t="s">
        <v>87</v>
      </c>
      <c r="B24">
        <v>4</v>
      </c>
      <c r="C24">
        <v>362</v>
      </c>
      <c r="D24">
        <v>272</v>
      </c>
      <c r="E24">
        <v>0.1</v>
      </c>
      <c r="F24" t="s">
        <v>90</v>
      </c>
      <c r="G24" t="str">
        <f t="shared" si="0"/>
        <v>Adam</v>
      </c>
      <c r="H24" s="2">
        <v>911.43988585472096</v>
      </c>
      <c r="I24" s="1">
        <v>8.6629337173100893</v>
      </c>
      <c r="J24" s="1">
        <v>13.214288815071701</v>
      </c>
      <c r="K24" s="1">
        <v>9.8670686985316998</v>
      </c>
      <c r="L24" s="1">
        <f t="shared" si="1"/>
        <v>3.1411890580688868</v>
      </c>
    </row>
    <row r="25" spans="1:12" x14ac:dyDescent="0.25">
      <c r="A25" t="s">
        <v>87</v>
      </c>
      <c r="B25">
        <v>4</v>
      </c>
      <c r="C25">
        <v>362</v>
      </c>
      <c r="D25">
        <v>272</v>
      </c>
      <c r="E25">
        <v>0.1</v>
      </c>
      <c r="F25" t="s">
        <v>96</v>
      </c>
      <c r="G25" t="str">
        <f t="shared" si="0"/>
        <v>SGD</v>
      </c>
      <c r="H25" s="2">
        <v>281.22014164924599</v>
      </c>
      <c r="I25" s="1">
        <v>9.20250186482731</v>
      </c>
      <c r="J25" s="1">
        <v>12.0545515418052</v>
      </c>
      <c r="K25" s="1">
        <v>10.012413644476901</v>
      </c>
      <c r="L25" s="1">
        <f t="shared" si="1"/>
        <v>3.1642398209486116</v>
      </c>
    </row>
    <row r="26" spans="1:12" x14ac:dyDescent="0.25">
      <c r="A26" t="s">
        <v>87</v>
      </c>
      <c r="B26">
        <v>8</v>
      </c>
      <c r="C26">
        <v>544</v>
      </c>
      <c r="D26">
        <v>408</v>
      </c>
      <c r="E26">
        <v>0.1</v>
      </c>
      <c r="F26" t="s">
        <v>94</v>
      </c>
      <c r="G26" t="str">
        <f t="shared" si="0"/>
        <v>SGD</v>
      </c>
      <c r="H26" s="2">
        <v>195.95672512054401</v>
      </c>
      <c r="I26" s="1">
        <v>9.91650851209398</v>
      </c>
      <c r="J26" s="1">
        <v>12.136925847906801</v>
      </c>
      <c r="K26" s="1">
        <v>10.0761152945066</v>
      </c>
      <c r="L26" s="1">
        <f t="shared" si="1"/>
        <v>3.1742897307124629</v>
      </c>
    </row>
    <row r="27" spans="1:12" x14ac:dyDescent="0.25">
      <c r="A27" t="s">
        <v>87</v>
      </c>
      <c r="B27">
        <v>8</v>
      </c>
      <c r="C27">
        <v>362</v>
      </c>
      <c r="D27">
        <v>272</v>
      </c>
      <c r="E27">
        <v>1E-3</v>
      </c>
      <c r="F27" t="s">
        <v>121</v>
      </c>
      <c r="G27" t="str">
        <f t="shared" si="0"/>
        <v>SGD</v>
      </c>
      <c r="H27" s="2">
        <v>521.81332230567898</v>
      </c>
      <c r="I27" s="1">
        <v>11.264770418070601</v>
      </c>
      <c r="J27" s="1">
        <v>13.418279472150299</v>
      </c>
      <c r="K27" s="1">
        <v>10.2387579867714</v>
      </c>
      <c r="L27" s="1">
        <f t="shared" si="1"/>
        <v>3.1998059295481345</v>
      </c>
    </row>
    <row r="28" spans="1:12" x14ac:dyDescent="0.25">
      <c r="A28" t="s">
        <v>87</v>
      </c>
      <c r="B28">
        <v>16</v>
      </c>
      <c r="C28">
        <v>544</v>
      </c>
      <c r="D28">
        <v>408</v>
      </c>
      <c r="E28">
        <v>0.1</v>
      </c>
      <c r="F28" t="s">
        <v>95</v>
      </c>
      <c r="G28" t="str">
        <f t="shared" si="0"/>
        <v>SGD</v>
      </c>
      <c r="H28" s="2">
        <v>575.63906431198097</v>
      </c>
      <c r="I28" s="1">
        <v>10.931188969190901</v>
      </c>
      <c r="J28" s="1">
        <v>11.828598287370401</v>
      </c>
      <c r="K28" s="1">
        <v>10.278469244639</v>
      </c>
      <c r="L28" s="1">
        <f t="shared" si="1"/>
        <v>3.2060051847492388</v>
      </c>
    </row>
    <row r="29" spans="1:12" x14ac:dyDescent="0.25">
      <c r="A29" t="s">
        <v>87</v>
      </c>
      <c r="B29">
        <v>8</v>
      </c>
      <c r="C29">
        <v>362</v>
      </c>
      <c r="D29">
        <v>272</v>
      </c>
      <c r="E29">
        <v>0.01</v>
      </c>
      <c r="F29" t="s">
        <v>109</v>
      </c>
      <c r="G29" t="str">
        <f t="shared" si="0"/>
        <v>SGD</v>
      </c>
      <c r="H29" s="2">
        <v>520.57648682594299</v>
      </c>
      <c r="I29" s="1">
        <v>10.692452622131499</v>
      </c>
      <c r="J29" s="1">
        <v>13.9489108637759</v>
      </c>
      <c r="K29" s="1">
        <v>10.502158855137001</v>
      </c>
      <c r="L29" s="1">
        <f t="shared" si="1"/>
        <v>3.24070345066268</v>
      </c>
    </row>
    <row r="30" spans="1:12" x14ac:dyDescent="0.25">
      <c r="A30" t="s">
        <v>87</v>
      </c>
      <c r="B30">
        <v>4</v>
      </c>
      <c r="C30">
        <v>362</v>
      </c>
      <c r="D30">
        <v>272</v>
      </c>
      <c r="E30">
        <v>0.01</v>
      </c>
      <c r="F30" t="s">
        <v>108</v>
      </c>
      <c r="G30" t="str">
        <f t="shared" si="0"/>
        <v>SGD</v>
      </c>
      <c r="H30" s="2">
        <v>392.37360286712601</v>
      </c>
      <c r="I30" s="1">
        <v>9.0971532009896698</v>
      </c>
      <c r="J30" s="1">
        <v>12.702462346930201</v>
      </c>
      <c r="K30" s="1">
        <v>10.6703717269395</v>
      </c>
      <c r="L30" s="1">
        <f t="shared" si="1"/>
        <v>3.2665534936595635</v>
      </c>
    </row>
    <row r="31" spans="1:12" x14ac:dyDescent="0.25">
      <c r="A31" t="s">
        <v>87</v>
      </c>
      <c r="B31">
        <v>16</v>
      </c>
      <c r="C31">
        <v>362</v>
      </c>
      <c r="D31">
        <v>272</v>
      </c>
      <c r="E31">
        <v>1E-3</v>
      </c>
      <c r="F31" t="s">
        <v>116</v>
      </c>
      <c r="G31" t="str">
        <f t="shared" si="0"/>
        <v>Adam</v>
      </c>
      <c r="H31" s="2">
        <v>568.92092967033295</v>
      </c>
      <c r="I31" s="1">
        <v>10.575704713153</v>
      </c>
      <c r="J31" s="1">
        <v>13.8660193549262</v>
      </c>
      <c r="K31" s="1">
        <v>10.885454389784</v>
      </c>
      <c r="L31" s="1">
        <f t="shared" si="1"/>
        <v>3.299311199293574</v>
      </c>
    </row>
    <row r="32" spans="1:12" x14ac:dyDescent="0.25">
      <c r="A32" t="s">
        <v>87</v>
      </c>
      <c r="B32">
        <v>8</v>
      </c>
      <c r="C32">
        <v>362</v>
      </c>
      <c r="D32">
        <v>272</v>
      </c>
      <c r="E32">
        <v>0.01</v>
      </c>
      <c r="F32" t="s">
        <v>103</v>
      </c>
      <c r="G32" t="str">
        <f t="shared" si="0"/>
        <v>Adam</v>
      </c>
      <c r="H32" s="2">
        <v>531.98246121406498</v>
      </c>
      <c r="I32" s="1">
        <v>11.628761965791901</v>
      </c>
      <c r="J32" s="1">
        <v>15.304694527073901</v>
      </c>
      <c r="K32" s="1">
        <v>12.516798471149601</v>
      </c>
      <c r="L32" s="1">
        <f t="shared" si="1"/>
        <v>3.5379087708913017</v>
      </c>
    </row>
    <row r="33" spans="1:12" x14ac:dyDescent="0.25">
      <c r="A33" t="s">
        <v>87</v>
      </c>
      <c r="B33">
        <v>16</v>
      </c>
      <c r="C33">
        <v>362</v>
      </c>
      <c r="D33">
        <v>272</v>
      </c>
      <c r="E33">
        <v>0.01</v>
      </c>
      <c r="F33" t="s">
        <v>104</v>
      </c>
      <c r="G33" t="str">
        <f t="shared" si="0"/>
        <v>Adam</v>
      </c>
      <c r="H33" s="2">
        <v>803.78390312194801</v>
      </c>
      <c r="I33" s="1">
        <v>10.492891880598901</v>
      </c>
      <c r="J33" s="1">
        <v>16.0238764021131</v>
      </c>
      <c r="K33" s="1">
        <v>12.595492045084599</v>
      </c>
      <c r="L33" s="1">
        <f t="shared" si="1"/>
        <v>3.5490128268413739</v>
      </c>
    </row>
    <row r="34" spans="1:12" x14ac:dyDescent="0.25">
      <c r="A34" t="s">
        <v>87</v>
      </c>
      <c r="B34">
        <v>16</v>
      </c>
      <c r="C34">
        <v>362</v>
      </c>
      <c r="D34">
        <v>272</v>
      </c>
      <c r="E34">
        <v>1E-3</v>
      </c>
      <c r="F34" t="s">
        <v>122</v>
      </c>
      <c r="G34" t="str">
        <f t="shared" si="0"/>
        <v>SGD</v>
      </c>
      <c r="H34" s="2">
        <v>284.69053220748901</v>
      </c>
      <c r="I34" s="1">
        <v>12.262130726436601</v>
      </c>
      <c r="J34" s="1">
        <v>14.0564952426486</v>
      </c>
      <c r="K34" s="1">
        <v>12.6578413645426</v>
      </c>
      <c r="L34" s="1">
        <f t="shared" si="1"/>
        <v>3.557786020061156</v>
      </c>
    </row>
    <row r="35" spans="1:12" x14ac:dyDescent="0.25">
      <c r="A35" t="s">
        <v>87</v>
      </c>
      <c r="B35">
        <v>16</v>
      </c>
      <c r="C35">
        <v>362</v>
      </c>
      <c r="D35">
        <v>272</v>
      </c>
      <c r="E35">
        <v>0.01</v>
      </c>
      <c r="F35" t="s">
        <v>110</v>
      </c>
      <c r="G35" t="str">
        <f t="shared" si="0"/>
        <v>SGD</v>
      </c>
      <c r="H35" s="2">
        <v>272.00584578514099</v>
      </c>
      <c r="I35" s="1">
        <v>12.3549406480925</v>
      </c>
      <c r="J35" s="1">
        <v>15.9128758112589</v>
      </c>
      <c r="K35" s="1">
        <v>12.673382865058</v>
      </c>
      <c r="L35" s="1">
        <f t="shared" si="1"/>
        <v>3.5599695033887579</v>
      </c>
    </row>
    <row r="36" spans="1:12" x14ac:dyDescent="0.25">
      <c r="A36" t="s">
        <v>87</v>
      </c>
      <c r="B36">
        <v>16</v>
      </c>
      <c r="C36">
        <v>544</v>
      </c>
      <c r="D36">
        <v>408</v>
      </c>
      <c r="E36">
        <v>1E-3</v>
      </c>
      <c r="F36" t="s">
        <v>119</v>
      </c>
      <c r="G36" t="str">
        <f t="shared" si="0"/>
        <v>SGD</v>
      </c>
      <c r="H36" s="2">
        <v>387.45011901855401</v>
      </c>
      <c r="I36" s="1">
        <v>12.5003713895792</v>
      </c>
      <c r="J36" s="1">
        <v>15.649528503417899</v>
      </c>
      <c r="K36" s="1">
        <v>13.195267995198501</v>
      </c>
      <c r="L36" s="1">
        <f t="shared" si="1"/>
        <v>3.6325291458154196</v>
      </c>
    </row>
    <row r="37" spans="1:12" x14ac:dyDescent="0.25">
      <c r="A37" t="s">
        <v>87</v>
      </c>
      <c r="B37">
        <v>16</v>
      </c>
      <c r="C37">
        <v>362</v>
      </c>
      <c r="D37">
        <v>272</v>
      </c>
      <c r="E37">
        <v>0.1</v>
      </c>
      <c r="F37" t="s">
        <v>98</v>
      </c>
      <c r="G37" t="str">
        <f t="shared" si="0"/>
        <v>SGD</v>
      </c>
      <c r="H37" s="2">
        <v>133.16463923454199</v>
      </c>
      <c r="I37" s="1">
        <v>22.169145839506399</v>
      </c>
      <c r="J37" s="1">
        <v>30.7644057803683</v>
      </c>
      <c r="K37" s="1">
        <v>23.4220656288994</v>
      </c>
      <c r="L37" s="1">
        <f t="shared" si="1"/>
        <v>4.8396348652454559</v>
      </c>
    </row>
    <row r="38" spans="1:12" ht="11.25" customHeight="1" x14ac:dyDescent="0.25"/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21E73-EA89-474A-B2AE-22BD61CAD732}">
  <sheetPr codeName="Sheet12">
    <tabColor theme="7" tint="0.59999389629810485"/>
  </sheetPr>
  <dimension ref="A1:P46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8" width="9.140625" customWidth="1"/>
    <col min="9" max="9" width="10.140625" bestFit="1" customWidth="1"/>
    <col min="10" max="16" width="9.140625" customWidth="1"/>
    <col min="17" max="16384" width="9.140625" hidden="1"/>
  </cols>
  <sheetData>
    <row r="1" spans="2:15" x14ac:dyDescent="0.25"/>
    <row r="2" spans="2:15" x14ac:dyDescent="0.25">
      <c r="B2" t="s">
        <v>8</v>
      </c>
      <c r="C2">
        <v>544</v>
      </c>
      <c r="D2" t="s">
        <v>0</v>
      </c>
      <c r="E2">
        <v>4</v>
      </c>
      <c r="G2" t="s">
        <v>8</v>
      </c>
      <c r="H2">
        <v>544</v>
      </c>
      <c r="I2" t="s">
        <v>0</v>
      </c>
      <c r="J2">
        <v>8</v>
      </c>
      <c r="L2" t="s">
        <v>8</v>
      </c>
      <c r="M2">
        <v>544</v>
      </c>
      <c r="N2" t="s">
        <v>0</v>
      </c>
      <c r="O2">
        <v>16</v>
      </c>
    </row>
    <row r="3" spans="2:15" x14ac:dyDescent="0.25">
      <c r="B3" t="s">
        <v>1</v>
      </c>
      <c r="C3">
        <v>408</v>
      </c>
      <c r="D3" t="s">
        <v>3</v>
      </c>
      <c r="E3" t="s">
        <v>11</v>
      </c>
      <c r="G3" t="s">
        <v>1</v>
      </c>
      <c r="H3">
        <v>408</v>
      </c>
      <c r="I3" t="s">
        <v>3</v>
      </c>
      <c r="J3" t="s">
        <v>11</v>
      </c>
      <c r="L3" t="s">
        <v>1</v>
      </c>
      <c r="M3">
        <v>408</v>
      </c>
      <c r="N3" t="s">
        <v>3</v>
      </c>
      <c r="O3" t="s">
        <v>11</v>
      </c>
    </row>
    <row r="4" spans="2:15" x14ac:dyDescent="0.25"/>
    <row r="5" spans="2:15" x14ac:dyDescent="0.25"/>
    <row r="6" spans="2:15" x14ac:dyDescent="0.25"/>
    <row r="7" spans="2:15" x14ac:dyDescent="0.25"/>
    <row r="8" spans="2:15" x14ac:dyDescent="0.25"/>
    <row r="9" spans="2:15" x14ac:dyDescent="0.25"/>
    <row r="10" spans="2:15" x14ac:dyDescent="0.25"/>
    <row r="11" spans="2:15" x14ac:dyDescent="0.25"/>
    <row r="12" spans="2:15" x14ac:dyDescent="0.25"/>
    <row r="13" spans="2:15" x14ac:dyDescent="0.25">
      <c r="B13" t="s">
        <v>8</v>
      </c>
      <c r="C13">
        <v>362</v>
      </c>
      <c r="D13" t="s">
        <v>0</v>
      </c>
      <c r="E13">
        <v>4</v>
      </c>
      <c r="G13" t="s">
        <v>8</v>
      </c>
      <c r="H13">
        <v>362</v>
      </c>
      <c r="I13" t="s">
        <v>0</v>
      </c>
      <c r="J13">
        <v>8</v>
      </c>
      <c r="L13" t="s">
        <v>8</v>
      </c>
      <c r="M13">
        <v>362</v>
      </c>
      <c r="N13" t="s">
        <v>0</v>
      </c>
      <c r="O13">
        <v>16</v>
      </c>
    </row>
    <row r="14" spans="2:15" x14ac:dyDescent="0.25">
      <c r="B14" t="s">
        <v>1</v>
      </c>
      <c r="C14">
        <v>272</v>
      </c>
      <c r="D14" t="s">
        <v>3</v>
      </c>
      <c r="E14" t="s">
        <v>11</v>
      </c>
      <c r="G14" t="s">
        <v>1</v>
      </c>
      <c r="H14">
        <v>272</v>
      </c>
      <c r="I14" t="s">
        <v>3</v>
      </c>
      <c r="J14" t="s">
        <v>11</v>
      </c>
      <c r="L14" t="s">
        <v>1</v>
      </c>
      <c r="M14">
        <v>272</v>
      </c>
      <c r="N14" t="s">
        <v>3</v>
      </c>
      <c r="O14" t="s">
        <v>11</v>
      </c>
    </row>
    <row r="15" spans="2:15" x14ac:dyDescent="0.25"/>
    <row r="16" spans="2:15" x14ac:dyDescent="0.25"/>
    <row r="17" spans="2:15" x14ac:dyDescent="0.25"/>
    <row r="18" spans="2:15" x14ac:dyDescent="0.25"/>
    <row r="19" spans="2:15" x14ac:dyDescent="0.25"/>
    <row r="20" spans="2:15" x14ac:dyDescent="0.25"/>
    <row r="21" spans="2:15" x14ac:dyDescent="0.25"/>
    <row r="22" spans="2:15" x14ac:dyDescent="0.25"/>
    <row r="23" spans="2:15" x14ac:dyDescent="0.25"/>
    <row r="24" spans="2:15" x14ac:dyDescent="0.25">
      <c r="B24" t="s">
        <v>8</v>
      </c>
      <c r="C24">
        <v>544</v>
      </c>
      <c r="D24" t="s">
        <v>0</v>
      </c>
      <c r="E24">
        <v>4</v>
      </c>
      <c r="G24" t="s">
        <v>8</v>
      </c>
      <c r="H24">
        <v>544</v>
      </c>
      <c r="I24" t="s">
        <v>0</v>
      </c>
      <c r="J24">
        <v>8</v>
      </c>
      <c r="L24" t="s">
        <v>8</v>
      </c>
      <c r="M24">
        <v>544</v>
      </c>
      <c r="N24" t="s">
        <v>0</v>
      </c>
      <c r="O24">
        <v>16</v>
      </c>
    </row>
    <row r="25" spans="2:15" x14ac:dyDescent="0.25">
      <c r="B25" t="s">
        <v>1</v>
      </c>
      <c r="C25">
        <v>408</v>
      </c>
      <c r="D25" t="s">
        <v>3</v>
      </c>
      <c r="E25" t="s">
        <v>12</v>
      </c>
      <c r="G25" t="s">
        <v>1</v>
      </c>
      <c r="H25">
        <v>408</v>
      </c>
      <c r="I25" t="s">
        <v>3</v>
      </c>
      <c r="J25" t="s">
        <v>12</v>
      </c>
      <c r="L25" t="s">
        <v>1</v>
      </c>
      <c r="M25">
        <v>408</v>
      </c>
      <c r="N25" t="s">
        <v>3</v>
      </c>
      <c r="O25" t="s">
        <v>12</v>
      </c>
    </row>
    <row r="26" spans="2:15" x14ac:dyDescent="0.25"/>
    <row r="27" spans="2:15" x14ac:dyDescent="0.25"/>
    <row r="28" spans="2:15" x14ac:dyDescent="0.25"/>
    <row r="29" spans="2:15" x14ac:dyDescent="0.25"/>
    <row r="30" spans="2:15" x14ac:dyDescent="0.25"/>
    <row r="31" spans="2:15" x14ac:dyDescent="0.25"/>
    <row r="32" spans="2:15" x14ac:dyDescent="0.25"/>
    <row r="33" spans="2:15" x14ac:dyDescent="0.25"/>
    <row r="34" spans="2:15" x14ac:dyDescent="0.25"/>
    <row r="35" spans="2:15" x14ac:dyDescent="0.25">
      <c r="B35" t="s">
        <v>8</v>
      </c>
      <c r="C35">
        <v>362</v>
      </c>
      <c r="D35" t="s">
        <v>0</v>
      </c>
      <c r="E35">
        <v>4</v>
      </c>
      <c r="G35" t="s">
        <v>8</v>
      </c>
      <c r="H35">
        <v>362</v>
      </c>
      <c r="I35" t="s">
        <v>0</v>
      </c>
      <c r="J35">
        <v>8</v>
      </c>
      <c r="L35" t="s">
        <v>8</v>
      </c>
      <c r="M35">
        <v>362</v>
      </c>
      <c r="N35" t="s">
        <v>0</v>
      </c>
      <c r="O35">
        <v>16</v>
      </c>
    </row>
    <row r="36" spans="2:15" x14ac:dyDescent="0.25">
      <c r="B36" t="s">
        <v>1</v>
      </c>
      <c r="C36">
        <v>272</v>
      </c>
      <c r="D36" t="s">
        <v>3</v>
      </c>
      <c r="E36" t="s">
        <v>12</v>
      </c>
      <c r="G36" t="s">
        <v>1</v>
      </c>
      <c r="H36">
        <v>272</v>
      </c>
      <c r="I36" t="s">
        <v>3</v>
      </c>
      <c r="J36" t="s">
        <v>12</v>
      </c>
      <c r="L36" t="s">
        <v>1</v>
      </c>
      <c r="M36">
        <v>272</v>
      </c>
      <c r="N36" t="s">
        <v>3</v>
      </c>
      <c r="O36" t="s">
        <v>12</v>
      </c>
    </row>
    <row r="37" spans="2:15" x14ac:dyDescent="0.25"/>
    <row r="38" spans="2:15" x14ac:dyDescent="0.25"/>
    <row r="39" spans="2:15" x14ac:dyDescent="0.25"/>
    <row r="40" spans="2:15" x14ac:dyDescent="0.25"/>
    <row r="41" spans="2:15" x14ac:dyDescent="0.25"/>
    <row r="42" spans="2:15" x14ac:dyDescent="0.25"/>
    <row r="43" spans="2:15" x14ac:dyDescent="0.25"/>
    <row r="44" spans="2:15" x14ac:dyDescent="0.25"/>
    <row r="45" spans="2:15" x14ac:dyDescent="0.25"/>
    <row r="46" spans="2:15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8A3BE-42EA-4CB7-90D6-51C4E0B74F85}">
  <sheetPr codeName="Sheet11">
    <tabColor theme="7" tint="0.59999389629810485"/>
  </sheetPr>
  <dimension ref="A1:P46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8" width="9.140625" customWidth="1"/>
    <col min="9" max="9" width="10.140625" bestFit="1" customWidth="1"/>
    <col min="10" max="16" width="9.140625" customWidth="1"/>
    <col min="17" max="16384" width="9.140625" hidden="1"/>
  </cols>
  <sheetData>
    <row r="1" spans="2:15" x14ac:dyDescent="0.25"/>
    <row r="2" spans="2:15" x14ac:dyDescent="0.25">
      <c r="B2" t="s">
        <v>8</v>
      </c>
      <c r="C2">
        <v>544</v>
      </c>
      <c r="D2" t="s">
        <v>0</v>
      </c>
      <c r="E2">
        <v>4</v>
      </c>
      <c r="G2" t="s">
        <v>8</v>
      </c>
      <c r="H2">
        <v>544</v>
      </c>
      <c r="I2" t="s">
        <v>0</v>
      </c>
      <c r="J2">
        <v>8</v>
      </c>
      <c r="L2" t="s">
        <v>8</v>
      </c>
      <c r="M2">
        <v>544</v>
      </c>
      <c r="N2" t="s">
        <v>0</v>
      </c>
      <c r="O2">
        <v>16</v>
      </c>
    </row>
    <row r="3" spans="2:15" x14ac:dyDescent="0.25">
      <c r="B3" t="s">
        <v>1</v>
      </c>
      <c r="C3">
        <v>408</v>
      </c>
      <c r="D3" t="s">
        <v>3</v>
      </c>
      <c r="E3" t="s">
        <v>11</v>
      </c>
      <c r="G3" t="s">
        <v>1</v>
      </c>
      <c r="H3">
        <v>408</v>
      </c>
      <c r="I3" t="s">
        <v>3</v>
      </c>
      <c r="J3" t="s">
        <v>11</v>
      </c>
      <c r="L3" t="s">
        <v>1</v>
      </c>
      <c r="M3">
        <v>408</v>
      </c>
      <c r="N3" t="s">
        <v>3</v>
      </c>
      <c r="O3" t="s">
        <v>11</v>
      </c>
    </row>
    <row r="4" spans="2:15" x14ac:dyDescent="0.25"/>
    <row r="5" spans="2:15" x14ac:dyDescent="0.25"/>
    <row r="6" spans="2:15" x14ac:dyDescent="0.25"/>
    <row r="7" spans="2:15" x14ac:dyDescent="0.25"/>
    <row r="8" spans="2:15" x14ac:dyDescent="0.25"/>
    <row r="9" spans="2:15" x14ac:dyDescent="0.25"/>
    <row r="10" spans="2:15" x14ac:dyDescent="0.25"/>
    <row r="11" spans="2:15" x14ac:dyDescent="0.25"/>
    <row r="12" spans="2:15" x14ac:dyDescent="0.25"/>
    <row r="13" spans="2:15" x14ac:dyDescent="0.25">
      <c r="B13" t="s">
        <v>8</v>
      </c>
      <c r="C13">
        <v>362</v>
      </c>
      <c r="D13" t="s">
        <v>0</v>
      </c>
      <c r="E13">
        <v>4</v>
      </c>
      <c r="G13" t="s">
        <v>8</v>
      </c>
      <c r="H13">
        <v>362</v>
      </c>
      <c r="I13" t="s">
        <v>0</v>
      </c>
      <c r="J13">
        <v>8</v>
      </c>
      <c r="L13" t="s">
        <v>8</v>
      </c>
      <c r="M13">
        <v>362</v>
      </c>
      <c r="N13" t="s">
        <v>0</v>
      </c>
      <c r="O13">
        <v>16</v>
      </c>
    </row>
    <row r="14" spans="2:15" x14ac:dyDescent="0.25">
      <c r="B14" t="s">
        <v>1</v>
      </c>
      <c r="C14">
        <v>272</v>
      </c>
      <c r="D14" t="s">
        <v>3</v>
      </c>
      <c r="E14" t="s">
        <v>11</v>
      </c>
      <c r="G14" t="s">
        <v>1</v>
      </c>
      <c r="H14">
        <v>272</v>
      </c>
      <c r="I14" t="s">
        <v>3</v>
      </c>
      <c r="J14" t="s">
        <v>11</v>
      </c>
      <c r="L14" t="s">
        <v>1</v>
      </c>
      <c r="M14">
        <v>272</v>
      </c>
      <c r="N14" t="s">
        <v>3</v>
      </c>
      <c r="O14" t="s">
        <v>11</v>
      </c>
    </row>
    <row r="15" spans="2:15" x14ac:dyDescent="0.25"/>
    <row r="16" spans="2:15" x14ac:dyDescent="0.25"/>
    <row r="17" spans="2:15" x14ac:dyDescent="0.25"/>
    <row r="18" spans="2:15" x14ac:dyDescent="0.25"/>
    <row r="19" spans="2:15" x14ac:dyDescent="0.25"/>
    <row r="20" spans="2:15" x14ac:dyDescent="0.25"/>
    <row r="21" spans="2:15" x14ac:dyDescent="0.25"/>
    <row r="22" spans="2:15" x14ac:dyDescent="0.25"/>
    <row r="23" spans="2:15" x14ac:dyDescent="0.25"/>
    <row r="24" spans="2:15" x14ac:dyDescent="0.25">
      <c r="B24" t="s">
        <v>8</v>
      </c>
      <c r="C24">
        <v>544</v>
      </c>
      <c r="D24" t="s">
        <v>0</v>
      </c>
      <c r="E24">
        <v>4</v>
      </c>
      <c r="G24" t="s">
        <v>8</v>
      </c>
      <c r="H24">
        <v>544</v>
      </c>
      <c r="I24" t="s">
        <v>0</v>
      </c>
      <c r="J24">
        <v>8</v>
      </c>
      <c r="L24" t="s">
        <v>8</v>
      </c>
      <c r="M24">
        <v>544</v>
      </c>
      <c r="N24" t="s">
        <v>0</v>
      </c>
      <c r="O24">
        <v>16</v>
      </c>
    </row>
    <row r="25" spans="2:15" x14ac:dyDescent="0.25">
      <c r="B25" t="s">
        <v>1</v>
      </c>
      <c r="C25">
        <v>408</v>
      </c>
      <c r="D25" t="s">
        <v>3</v>
      </c>
      <c r="E25" t="s">
        <v>12</v>
      </c>
      <c r="G25" t="s">
        <v>1</v>
      </c>
      <c r="H25">
        <v>408</v>
      </c>
      <c r="I25" t="s">
        <v>3</v>
      </c>
      <c r="J25" t="s">
        <v>12</v>
      </c>
      <c r="L25" t="s">
        <v>1</v>
      </c>
      <c r="M25">
        <v>408</v>
      </c>
      <c r="N25" t="s">
        <v>3</v>
      </c>
      <c r="O25" t="s">
        <v>12</v>
      </c>
    </row>
    <row r="26" spans="2:15" x14ac:dyDescent="0.25"/>
    <row r="27" spans="2:15" x14ac:dyDescent="0.25"/>
    <row r="28" spans="2:15" x14ac:dyDescent="0.25"/>
    <row r="29" spans="2:15" x14ac:dyDescent="0.25"/>
    <row r="30" spans="2:15" x14ac:dyDescent="0.25"/>
    <row r="31" spans="2:15" x14ac:dyDescent="0.25"/>
    <row r="32" spans="2:15" x14ac:dyDescent="0.25"/>
    <row r="33" spans="2:15" x14ac:dyDescent="0.25"/>
    <row r="34" spans="2:15" x14ac:dyDescent="0.25"/>
    <row r="35" spans="2:15" x14ac:dyDescent="0.25">
      <c r="B35" t="s">
        <v>8</v>
      </c>
      <c r="C35">
        <v>362</v>
      </c>
      <c r="D35" t="s">
        <v>0</v>
      </c>
      <c r="E35">
        <v>4</v>
      </c>
      <c r="G35" t="s">
        <v>8</v>
      </c>
      <c r="H35">
        <v>362</v>
      </c>
      <c r="I35" t="s">
        <v>0</v>
      </c>
      <c r="J35">
        <v>8</v>
      </c>
      <c r="L35" t="s">
        <v>8</v>
      </c>
      <c r="M35">
        <v>362</v>
      </c>
      <c r="N35" t="s">
        <v>0</v>
      </c>
      <c r="O35">
        <v>16</v>
      </c>
    </row>
    <row r="36" spans="2:15" x14ac:dyDescent="0.25">
      <c r="B36" t="s">
        <v>1</v>
      </c>
      <c r="C36">
        <v>272</v>
      </c>
      <c r="D36" t="s">
        <v>3</v>
      </c>
      <c r="E36" t="s">
        <v>12</v>
      </c>
      <c r="G36" t="s">
        <v>1</v>
      </c>
      <c r="H36">
        <v>272</v>
      </c>
      <c r="I36" t="s">
        <v>3</v>
      </c>
      <c r="J36" t="s">
        <v>12</v>
      </c>
      <c r="L36" t="s">
        <v>1</v>
      </c>
      <c r="M36">
        <v>272</v>
      </c>
      <c r="N36" t="s">
        <v>3</v>
      </c>
      <c r="O36" t="s">
        <v>12</v>
      </c>
    </row>
    <row r="37" spans="2:15" x14ac:dyDescent="0.25"/>
    <row r="38" spans="2:15" x14ac:dyDescent="0.25"/>
    <row r="39" spans="2:15" x14ac:dyDescent="0.25"/>
    <row r="40" spans="2:15" x14ac:dyDescent="0.25"/>
    <row r="41" spans="2:15" x14ac:dyDescent="0.25"/>
    <row r="42" spans="2:15" x14ac:dyDescent="0.25"/>
    <row r="43" spans="2:15" x14ac:dyDescent="0.25"/>
    <row r="44" spans="2:15" x14ac:dyDescent="0.25"/>
    <row r="45" spans="2:15" x14ac:dyDescent="0.25"/>
    <row r="46" spans="2:15" x14ac:dyDescent="0.25"/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330B0-C2D2-4049-803C-E8E7C8E743EA}">
  <sheetPr codeName="Sheet10">
    <tabColor theme="7" tint="0.59999389629810485"/>
  </sheetPr>
  <dimension ref="A1:P46"/>
  <sheetViews>
    <sheetView showGridLines="0" zoomScale="70" zoomScaleNormal="70" workbookViewId="0"/>
  </sheetViews>
  <sheetFormatPr defaultColWidth="0" defaultRowHeight="15" customHeight="1" zeroHeight="1" x14ac:dyDescent="0.25"/>
  <cols>
    <col min="1" max="1" width="3.28515625" customWidth="1"/>
    <col min="2" max="2" width="11.5703125" customWidth="1"/>
    <col min="3" max="3" width="9.140625" customWidth="1"/>
    <col min="4" max="4" width="9.85546875" bestFit="1" customWidth="1"/>
    <col min="5" max="8" width="9.140625" customWidth="1"/>
    <col min="9" max="9" width="10.140625" bestFit="1" customWidth="1"/>
    <col min="10" max="16" width="9.140625" customWidth="1"/>
    <col min="17" max="16384" width="9.140625" hidden="1"/>
  </cols>
  <sheetData>
    <row r="1" spans="2:15" x14ac:dyDescent="0.25"/>
    <row r="2" spans="2:15" x14ac:dyDescent="0.25">
      <c r="B2" t="s">
        <v>8</v>
      </c>
      <c r="C2">
        <v>544</v>
      </c>
      <c r="D2" t="s">
        <v>0</v>
      </c>
      <c r="E2">
        <v>4</v>
      </c>
      <c r="G2" t="s">
        <v>8</v>
      </c>
      <c r="H2">
        <v>544</v>
      </c>
      <c r="I2" t="s">
        <v>0</v>
      </c>
      <c r="J2">
        <v>8</v>
      </c>
      <c r="L2" t="s">
        <v>8</v>
      </c>
      <c r="M2">
        <v>544</v>
      </c>
      <c r="N2" t="s">
        <v>0</v>
      </c>
      <c r="O2">
        <v>16</v>
      </c>
    </row>
    <row r="3" spans="2:15" x14ac:dyDescent="0.25">
      <c r="B3" t="s">
        <v>1</v>
      </c>
      <c r="C3">
        <v>408</v>
      </c>
      <c r="D3" t="s">
        <v>3</v>
      </c>
      <c r="E3" t="s">
        <v>11</v>
      </c>
      <c r="G3" t="s">
        <v>1</v>
      </c>
      <c r="H3">
        <v>408</v>
      </c>
      <c r="I3" t="s">
        <v>3</v>
      </c>
      <c r="J3" t="s">
        <v>11</v>
      </c>
      <c r="L3" t="s">
        <v>1</v>
      </c>
      <c r="M3">
        <v>408</v>
      </c>
      <c r="N3" t="s">
        <v>3</v>
      </c>
      <c r="O3" t="s">
        <v>11</v>
      </c>
    </row>
    <row r="4" spans="2:15" x14ac:dyDescent="0.25"/>
    <row r="5" spans="2:15" x14ac:dyDescent="0.25"/>
    <row r="6" spans="2:15" x14ac:dyDescent="0.25"/>
    <row r="7" spans="2:15" x14ac:dyDescent="0.25"/>
    <row r="8" spans="2:15" x14ac:dyDescent="0.25"/>
    <row r="9" spans="2:15" x14ac:dyDescent="0.25"/>
    <row r="10" spans="2:15" x14ac:dyDescent="0.25"/>
    <row r="11" spans="2:15" x14ac:dyDescent="0.25"/>
    <row r="12" spans="2:15" x14ac:dyDescent="0.25"/>
    <row r="13" spans="2:15" x14ac:dyDescent="0.25">
      <c r="B13" t="s">
        <v>8</v>
      </c>
      <c r="C13">
        <v>362</v>
      </c>
      <c r="D13" t="s">
        <v>0</v>
      </c>
      <c r="E13">
        <v>4</v>
      </c>
      <c r="G13" t="s">
        <v>8</v>
      </c>
      <c r="H13">
        <v>362</v>
      </c>
      <c r="I13" t="s">
        <v>0</v>
      </c>
      <c r="J13">
        <v>8</v>
      </c>
      <c r="L13" t="s">
        <v>8</v>
      </c>
      <c r="M13">
        <v>362</v>
      </c>
      <c r="N13" t="s">
        <v>0</v>
      </c>
      <c r="O13">
        <v>16</v>
      </c>
    </row>
    <row r="14" spans="2:15" x14ac:dyDescent="0.25">
      <c r="B14" t="s">
        <v>1</v>
      </c>
      <c r="C14">
        <v>272</v>
      </c>
      <c r="D14" t="s">
        <v>3</v>
      </c>
      <c r="E14" t="s">
        <v>11</v>
      </c>
      <c r="G14" t="s">
        <v>1</v>
      </c>
      <c r="H14">
        <v>272</v>
      </c>
      <c r="I14" t="s">
        <v>3</v>
      </c>
      <c r="J14" t="s">
        <v>11</v>
      </c>
      <c r="L14" t="s">
        <v>1</v>
      </c>
      <c r="M14">
        <v>272</v>
      </c>
      <c r="N14" t="s">
        <v>3</v>
      </c>
      <c r="O14" t="s">
        <v>11</v>
      </c>
    </row>
    <row r="15" spans="2:15" x14ac:dyDescent="0.25"/>
    <row r="16" spans="2:15" x14ac:dyDescent="0.25"/>
    <row r="17" spans="2:15" x14ac:dyDescent="0.25"/>
    <row r="18" spans="2:15" x14ac:dyDescent="0.25"/>
    <row r="19" spans="2:15" x14ac:dyDescent="0.25"/>
    <row r="20" spans="2:15" x14ac:dyDescent="0.25"/>
    <row r="21" spans="2:15" x14ac:dyDescent="0.25"/>
    <row r="22" spans="2:15" x14ac:dyDescent="0.25"/>
    <row r="23" spans="2:15" x14ac:dyDescent="0.25"/>
    <row r="24" spans="2:15" x14ac:dyDescent="0.25">
      <c r="B24" s="3" t="s">
        <v>8</v>
      </c>
      <c r="C24" s="3">
        <v>544</v>
      </c>
      <c r="D24" s="3" t="s">
        <v>0</v>
      </c>
      <c r="E24" s="3">
        <v>4</v>
      </c>
      <c r="G24" t="s">
        <v>8</v>
      </c>
      <c r="H24">
        <v>544</v>
      </c>
      <c r="I24" t="s">
        <v>0</v>
      </c>
      <c r="J24">
        <v>8</v>
      </c>
      <c r="L24" t="s">
        <v>8</v>
      </c>
      <c r="M24">
        <v>544</v>
      </c>
      <c r="N24" t="s">
        <v>0</v>
      </c>
      <c r="O24">
        <v>16</v>
      </c>
    </row>
    <row r="25" spans="2:15" x14ac:dyDescent="0.25">
      <c r="B25" s="3" t="s">
        <v>1</v>
      </c>
      <c r="C25" s="3">
        <v>408</v>
      </c>
      <c r="D25" s="3" t="s">
        <v>3</v>
      </c>
      <c r="E25" s="3" t="s">
        <v>12</v>
      </c>
      <c r="G25" t="s">
        <v>1</v>
      </c>
      <c r="H25">
        <v>408</v>
      </c>
      <c r="I25" t="s">
        <v>3</v>
      </c>
      <c r="J25" t="s">
        <v>12</v>
      </c>
      <c r="L25" t="s">
        <v>1</v>
      </c>
      <c r="M25">
        <v>408</v>
      </c>
      <c r="N25" t="s">
        <v>3</v>
      </c>
      <c r="O25" t="s">
        <v>12</v>
      </c>
    </row>
    <row r="26" spans="2:15" x14ac:dyDescent="0.25"/>
    <row r="27" spans="2:15" x14ac:dyDescent="0.25"/>
    <row r="28" spans="2:15" x14ac:dyDescent="0.25"/>
    <row r="29" spans="2:15" x14ac:dyDescent="0.25"/>
    <row r="30" spans="2:15" x14ac:dyDescent="0.25"/>
    <row r="31" spans="2:15" x14ac:dyDescent="0.25"/>
    <row r="32" spans="2:15" x14ac:dyDescent="0.25"/>
    <row r="33" spans="2:15" x14ac:dyDescent="0.25"/>
    <row r="34" spans="2:15" x14ac:dyDescent="0.25"/>
    <row r="35" spans="2:15" x14ac:dyDescent="0.25">
      <c r="B35" t="s">
        <v>8</v>
      </c>
      <c r="C35">
        <v>362</v>
      </c>
      <c r="D35" t="s">
        <v>0</v>
      </c>
      <c r="E35">
        <v>4</v>
      </c>
      <c r="G35" t="s">
        <v>8</v>
      </c>
      <c r="H35">
        <v>362</v>
      </c>
      <c r="I35" t="s">
        <v>0</v>
      </c>
      <c r="J35">
        <v>8</v>
      </c>
      <c r="L35" t="s">
        <v>8</v>
      </c>
      <c r="M35">
        <v>362</v>
      </c>
      <c r="N35" t="s">
        <v>0</v>
      </c>
      <c r="O35">
        <v>16</v>
      </c>
    </row>
    <row r="36" spans="2:15" x14ac:dyDescent="0.25">
      <c r="B36" t="s">
        <v>1</v>
      </c>
      <c r="C36">
        <v>272</v>
      </c>
      <c r="D36" t="s">
        <v>3</v>
      </c>
      <c r="E36" t="s">
        <v>12</v>
      </c>
      <c r="G36" t="s">
        <v>1</v>
      </c>
      <c r="H36">
        <v>272</v>
      </c>
      <c r="I36" t="s">
        <v>3</v>
      </c>
      <c r="J36" t="s">
        <v>12</v>
      </c>
      <c r="L36" t="s">
        <v>1</v>
      </c>
      <c r="M36">
        <v>272</v>
      </c>
      <c r="N36" t="s">
        <v>3</v>
      </c>
      <c r="O36" t="s">
        <v>12</v>
      </c>
    </row>
    <row r="37" spans="2:15" x14ac:dyDescent="0.25"/>
    <row r="38" spans="2:15" x14ac:dyDescent="0.25"/>
    <row r="39" spans="2:15" x14ac:dyDescent="0.25"/>
    <row r="40" spans="2:15" x14ac:dyDescent="0.25"/>
    <row r="41" spans="2:15" x14ac:dyDescent="0.25"/>
    <row r="42" spans="2:15" x14ac:dyDescent="0.25"/>
    <row r="43" spans="2:15" x14ac:dyDescent="0.25"/>
    <row r="44" spans="2:15" x14ac:dyDescent="0.25"/>
    <row r="45" spans="2:15" x14ac:dyDescent="0.25"/>
    <row r="46" spans="2:15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summ_results_base</vt:lpstr>
      <vt:lpstr>Base_LearnRate_0.1</vt:lpstr>
      <vt:lpstr>Base_LearnRate_0.01</vt:lpstr>
      <vt:lpstr>Base_LearnRate_0.001</vt:lpstr>
      <vt:lpstr>summ_results_extra</vt:lpstr>
      <vt:lpstr>Extra_LearnRate_0.1</vt:lpstr>
      <vt:lpstr>Extra_LearnRate_0.01</vt:lpstr>
      <vt:lpstr>Extra_LearnRate_0.001</vt:lpstr>
      <vt:lpstr>summ_results_extra_filt</vt:lpstr>
      <vt:lpstr>Extra_filt_LearnRate_0.1</vt:lpstr>
      <vt:lpstr>Extra_filt_LearnRate_0.01</vt:lpstr>
      <vt:lpstr>Extra_filt_LearnRate_0.001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Ignacio D. Lopez</cp:lastModifiedBy>
  <dcterms:created xsi:type="dcterms:W3CDTF">2020-06-10T18:30:18Z</dcterms:created>
  <dcterms:modified xsi:type="dcterms:W3CDTF">2020-06-16T16:39:38Z</dcterms:modified>
</cp:coreProperties>
</file>